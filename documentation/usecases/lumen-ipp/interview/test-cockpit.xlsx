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" sheetId="1" state="visible" r:id="rId3"/>
    <sheet name="Report" sheetId="2" state="visible" r:id="rId4"/>
    <sheet name="Assumptions" sheetId="3" state="visible" r:id="rId5"/>
    <sheet name="Sessions" sheetId="4" state="visible" r:id="rId6"/>
    <sheet name="Task Log" sheetId="5" state="visible" r:id="rId7"/>
    <sheet name="Observations" sheetId="6" state="visible" r:id="rId8"/>
    <sheet name="Lis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Thresholds set by the sprint team before testing (test guide, section Assumptions and metrics). 67% = 4 of 6 sessions.</t>
        </r>
      </text>
    </comment>
  </commentList>
</comments>
</file>

<file path=xl/sharedStrings.xml><?xml version="1.0" encoding="utf-8"?>
<sst xmlns="http://schemas.openxmlformats.org/spreadsheetml/2006/main" count="418" uniqueCount="232">
  <si>
    <t xml:space="preserve">Test cockpit · Lumen renewal kit</t>
  </si>
  <si>
    <t xml:space="preserve">Companion to the test guide. Example data from six fictional persona-twin sessions is filled in – overwrite it with your own.</t>
  </si>
  <si>
    <t xml:space="preserve">How to use</t>
  </si>
  <si>
    <t xml:space="preserve">Sessions</t>
  </si>
  <si>
    <t xml:space="preserve">Plan each interview: persona, mode (twin or real), date, tasks. Set Status to Done when the session is logged.</t>
  </si>
  <si>
    <t xml:space="preserve">Task Log</t>
  </si>
  <si>
    <t xml:space="preserve">One row per task per session: result, time on task, ease (1–7), prompt needed, a quote.</t>
  </si>
  <si>
    <t xml:space="preserve">Observations</t>
  </si>
  <si>
    <t xml:space="preserve">One row per session: the A1–A6 fields from the test guide and the four debrief ratings.</t>
  </si>
  <si>
    <t xml:space="preserve">Assumptions</t>
  </si>
  <si>
    <t xml:space="preserve">Thresholds per assumption (set before testing). Result, n and Status calculate automatically.</t>
  </si>
  <si>
    <t xml:space="preserve">Report</t>
  </si>
  <si>
    <t xml:space="preserve">The end result: scoreboard, task success, missing items, voices and next steps. Updates as you log.</t>
  </si>
  <si>
    <t xml:space="preserve">Legend</t>
  </si>
  <si>
    <t xml:space="preserve">Amber cells: enter or overwrite values here. All other cells calculate – don't type over them.</t>
  </si>
  <si>
    <t xml:space="preserve">Y / N / NA</t>
  </si>
  <si>
    <t xml:space="preserve">NA = task not run in this session. NA answers are left out of the shares, so always read n on the Assumptions sheet.</t>
  </si>
  <si>
    <t xml:space="preserve">Scales</t>
  </si>
  <si>
    <t xml:space="preserve">Ease 1 = very hard … 7 = very easy · Trust, usefulness, intent, preference 1 = not at all … 5 = fully</t>
  </si>
  <si>
    <t xml:space="preserve">Screens</t>
  </si>
  <si>
    <t xml:space="preserve">S1</t>
  </si>
  <si>
    <t xml:space="preserve">Email (PDF p. 1)</t>
  </si>
  <si>
    <t xml:space="preserve">S2</t>
  </si>
  <si>
    <t xml:space="preserve">Renewal kit page (p. 2–3)</t>
  </si>
  <si>
    <t xml:space="preserve">S3</t>
  </si>
  <si>
    <t xml:space="preserve">Board slide (p. 4)</t>
  </si>
  <si>
    <t xml:space="preserve">S4</t>
  </si>
  <si>
    <t xml:space="preserve">Method sheet (p. 5)</t>
  </si>
  <si>
    <t xml:space="preserve">S5</t>
  </si>
  <si>
    <t xml:space="preserve">Forward dialog (p. 6)</t>
  </si>
  <si>
    <t xml:space="preserve">Test report · Lumen renewal kit · Round 1</t>
  </si>
  <si>
    <t xml:space="preserve">EXAMPLE – fictional results from six persona-twin sessions, 9 Nov 2026. All figures update from the Task Log and Observations sheets.</t>
  </si>
  <si>
    <t xml:space="preserve">Sessions done</t>
  </si>
  <si>
    <t xml:space="preserve">Tasks run</t>
  </si>
  <si>
    <t xml:space="preserve">Task success</t>
  </si>
  <si>
    <t xml:space="preserve">Avg. ease (1–7)</t>
  </si>
  <si>
    <t xml:space="preserve">Usefulness (1–5)</t>
  </si>
  <si>
    <t xml:space="preserve">Confirmed</t>
  </si>
  <si>
    <t xml:space="preserve">Mixed</t>
  </si>
  <si>
    <t xml:space="preserve">Rejected</t>
  </si>
  <si>
    <t xml:space="preserve">Assumption scoreboard</t>
  </si>
  <si>
    <t xml:space="preserve">ID</t>
  </si>
  <si>
    <t xml:space="preserve">Assumption</t>
  </si>
  <si>
    <t xml:space="preserve">Result</t>
  </si>
  <si>
    <t xml:space="preserve">Target</t>
  </si>
  <si>
    <t xml:space="preserve">n</t>
  </si>
  <si>
    <t xml:space="preserve">Status</t>
  </si>
  <si>
    <t xml:space="preserve">What we learned</t>
  </si>
  <si>
    <t xml:space="preserve">Tasks</t>
  </si>
  <si>
    <t xml:space="preserve">Task</t>
  </si>
  <si>
    <t xml:space="preserve">Name</t>
  </si>
  <si>
    <t xml:space="preserve">Runs</t>
  </si>
  <si>
    <t xml:space="preserve">Success</t>
  </si>
  <si>
    <t xml:space="preserve">Help</t>
  </si>
  <si>
    <t xml:space="preserve">Failed</t>
  </si>
  <si>
    <t xml:space="preserve">Success rate</t>
  </si>
  <si>
    <t xml:space="preserve">Avg. time (s)</t>
  </si>
  <si>
    <t xml:space="preserve">Avg. ease</t>
  </si>
  <si>
    <t xml:space="preserve">Rule: two or more failures on one task = usability fix, whatever the assumption status.</t>
  </si>
  <si>
    <t xml:space="preserve">Must-have items participants would add by hand</t>
  </si>
  <si>
    <t xml:space="preserve">Voices</t>
  </si>
  <si>
    <t xml:space="preserve">Next iteration (example)</t>
  </si>
  <si>
    <t xml:space="preserve">1.  A5 Rejected → add an editable board meeting date to the kit and replace [YOUR DATE]; add SNSF to the funder figure for Swiss partners.</t>
  </si>
  <si>
    <t xml:space="preserve">2.  A3 Mixed → name an independent check on the method sheet (e.g. the consortium's own monitoring) and re-test with P4 and P5.</t>
  </si>
  <si>
    <t xml:space="preserve">3.  A2 Mixed → change sender and subject to read as a message to the library, not marketing; re-test with P6.</t>
  </si>
  <si>
    <t xml:space="preserve">4.  A6 Mixed → show the 2027 scenario only to budget holders; test the kit's forward to the director with P3.</t>
  </si>
  <si>
    <t xml:space="preserve">5.  Out of scope but recurring: comparison with other publishers (P3, P5) – decide with the Decider whether to open it up.</t>
  </si>
  <si>
    <t xml:space="preserve">Six assumptions behind the renewal kit. Thresholds (amber) are inputs; Result, n and Status calculate from Observations.</t>
  </si>
  <si>
    <t xml:space="preserve">Sprint question</t>
  </si>
  <si>
    <t xml:space="preserve">Metric</t>
  </si>
  <si>
    <t xml:space="preserve">Confirmed at</t>
  </si>
  <si>
    <t xml:space="preserve">Rejected below</t>
  </si>
  <si>
    <t xml:space="preserve">What we learned (example)</t>
  </si>
  <si>
    <t xml:space="preserve">A1</t>
  </si>
  <si>
    <t xml:space="preserve">Librarians forward the kit as it is</t>
  </si>
  <si>
    <t xml:space="preserve">SQ1</t>
  </si>
  <si>
    <t xml:space="preserve">Share who would forward or accept the slide unchanged</t>
  </si>
  <si>
    <t xml:space="preserve">Four of six would forward it unchanged. Miriam needs to add the board meeting date; Ulrike needs comparable figures.</t>
  </si>
  <si>
    <t xml:space="preserve">A2</t>
  </si>
  <si>
    <t xml:space="preserve">Push beats login: people act on the email</t>
  </si>
  <si>
    <t xml:space="preserve">Share who act on the email (S1) without a prompt (sessions with T1)</t>
  </si>
  <si>
    <t xml:space="preserve">Two of three acted at once. Ana read it as marketing – the sender and subject need to say 'your library'.</t>
  </si>
  <si>
    <t xml:space="preserve">A3</t>
  </si>
  <si>
    <t xml:space="preserve">A disclosed method makes publisher figures credible</t>
  </si>
  <si>
    <t xml:space="preserve">SQ2</t>
  </si>
  <si>
    <t xml:space="preserve">Average trust rating after seeing the method (1–5)</t>
  </si>
  <si>
    <t xml:space="preserve">Librarians trust it (4–5); the VP and the consortium stay at 3 and ask for an independent check.</t>
  </si>
  <si>
    <t xml:space="preserve">A4</t>
  </si>
  <si>
    <t xml:space="preserve">Cost and compliance tip the decision, not impact</t>
  </si>
  <si>
    <t xml:space="preserve">SQ3</t>
  </si>
  <si>
    <t xml:space="preserve">Share naming Cost or Compliance as the most persuasive tile</t>
  </si>
  <si>
    <t xml:space="preserve">Cost and compliance win four of six. People wins with the VP and the researcher – keep the tile.</t>
  </si>
  <si>
    <t xml:space="preserve">A5</t>
  </si>
  <si>
    <t xml:space="preserve">The kit is complete without manual additions</t>
  </si>
  <si>
    <t xml:space="preserve">SQ4</t>
  </si>
  <si>
    <t xml:space="preserve">Share with no must-have item missing</t>
  </si>
  <si>
    <t xml:space="preserve">Only two of six need nothing added: meeting date, SNSF, comparison with other publishers and peer benchmarks are missing.</t>
  </si>
  <si>
    <t xml:space="preserve">A6</t>
  </si>
  <si>
    <t xml:space="preserve">The kit sparks interest in expanding</t>
  </si>
  <si>
    <t xml:space="preserve">SQ5</t>
  </si>
  <si>
    <t xml:space="preserve">Share who ask about or act on the 2027 prepayment scenario</t>
  </si>
  <si>
    <t xml:space="preserve">Interest comes from the budget side (Miriam, Rainer); the VP and the consortium do not react to the scenario.</t>
  </si>
  <si>
    <t xml:space="preserve">Status rule: Confirmed if Result ≥ Confirmed at · Rejected if Result &lt; Rejected below · Mixed in between. Shares count Y and N answers only; NA is left out, so check n.</t>
  </si>
  <si>
    <t xml:space="preserve">One row per interview. Amber cells are inputs. Rows S01–S06 hold example data from six twin sessions.</t>
  </si>
  <si>
    <t xml:space="preserve">Session</t>
  </si>
  <si>
    <t xml:space="preserve">Order</t>
  </si>
  <si>
    <t xml:space="preserve">Persona</t>
  </si>
  <si>
    <t xml:space="preserve">Role</t>
  </si>
  <si>
    <t xml:space="preserve">Mode</t>
  </si>
  <si>
    <t xml:space="preserve">Date</t>
  </si>
  <si>
    <t xml:space="preserve">Interviewer</t>
  </si>
  <si>
    <t xml:space="preserve">Consent</t>
  </si>
  <si>
    <t xml:space="preserve">S01</t>
  </si>
  <si>
    <t xml:space="preserve">P1</t>
  </si>
  <si>
    <t xml:space="preserve">Dr. Miriam Kessler</t>
  </si>
  <si>
    <t xml:space="preserve">OA Coordinator, University of Rheinfeld</t>
  </si>
  <si>
    <t xml:space="preserve">Twin</t>
  </si>
  <si>
    <t xml:space="preserve">T1, T2, T3, T5</t>
  </si>
  <si>
    <t xml:space="preserve">Alexander Boll</t>
  </si>
  <si>
    <t xml:space="preserve">Y</t>
  </si>
  <si>
    <t xml:space="preserve">Done</t>
  </si>
  <si>
    <t xml:space="preserve">S02</t>
  </si>
  <si>
    <t xml:space="preserve">P3</t>
  </si>
  <si>
    <t xml:space="preserve">Dr. Rainer Hollmann</t>
  </si>
  <si>
    <t xml:space="preserve">Library Director, University of Rheinfeld</t>
  </si>
  <si>
    <t xml:space="preserve">T2, T4, T5</t>
  </si>
  <si>
    <t xml:space="preserve">S03</t>
  </si>
  <si>
    <t xml:space="preserve">P4</t>
  </si>
  <si>
    <t xml:space="preserve">Prof. Dr. Sabine Aigner</t>
  </si>
  <si>
    <t xml:space="preserve">VP Research, University of Rheinfeld</t>
  </si>
  <si>
    <t xml:space="preserve">T4, T2</t>
  </si>
  <si>
    <t xml:space="preserve">S04</t>
  </si>
  <si>
    <t xml:space="preserve">P6</t>
  </si>
  <si>
    <t xml:space="preserve">Dr. Ana Ferreira</t>
  </si>
  <si>
    <t xml:space="preserve">Group Leader &amp; guest editor, Rheinfeld</t>
  </si>
  <si>
    <t xml:space="preserve">T1, T4</t>
  </si>
  <si>
    <t xml:space="preserve">S05</t>
  </si>
  <si>
    <t xml:space="preserve">P2</t>
  </si>
  <si>
    <t xml:space="preserve">Jonas Brändli</t>
  </si>
  <si>
    <t xml:space="preserve">Data Steward, Aaretal UAS (CH)</t>
  </si>
  <si>
    <t xml:space="preserve">T1, T2, T3</t>
  </si>
  <si>
    <t xml:space="preserve">S06</t>
  </si>
  <si>
    <t xml:space="preserve">P5</t>
  </si>
  <si>
    <t xml:space="preserve">Ulrike Sandmann</t>
  </si>
  <si>
    <t xml:space="preserve">Head of Licensing, consortium of 14</t>
  </si>
  <si>
    <t xml:space="preserve">T2, T4</t>
  </si>
  <si>
    <t xml:space="preserve">S07</t>
  </si>
  <si>
    <t xml:space="preserve">R1</t>
  </si>
  <si>
    <t xml:space="preserve">[real librarian 1]</t>
  </si>
  <si>
    <t xml:space="preserve">Validation interview</t>
  </si>
  <si>
    <t xml:space="preserve">Real</t>
  </si>
  <si>
    <t xml:space="preserve">Planned</t>
  </si>
  <si>
    <t xml:space="preserve">S08</t>
  </si>
  <si>
    <t xml:space="preserve">R2</t>
  </si>
  <si>
    <t xml:space="preserve">[real librarian 2]</t>
  </si>
  <si>
    <t xml:space="preserve">S09</t>
  </si>
  <si>
    <t xml:space="preserve">R3</t>
  </si>
  <si>
    <t xml:space="preserve">[real director]</t>
  </si>
  <si>
    <t xml:space="preserve">S10</t>
  </si>
  <si>
    <t xml:space="preserve">S11</t>
  </si>
  <si>
    <t xml:space="preserve">S12</t>
  </si>
  <si>
    <t xml:space="preserve">One row per task per session. Enter Session, Task and the amber fields; Persona and Screens fill in.</t>
  </si>
  <si>
    <t xml:space="preserve">Time (s)</t>
  </si>
  <si>
    <t xml:space="preserve">Ease (1–7)</t>
  </si>
  <si>
    <t xml:space="preserve">Prompted</t>
  </si>
  <si>
    <t xml:space="preserve">Observation / quote</t>
  </si>
  <si>
    <t xml:space="preserve">T1</t>
  </si>
  <si>
    <t xml:space="preserve">N</t>
  </si>
  <si>
    <t xml:space="preserve">Read EUR 51,060 first, then 93%. Opened the kit straight away: "Finally something I don't have to build."</t>
  </si>
  <si>
    <t xml:space="preserve">T2</t>
  </si>
  <si>
    <t xml:space="preserve">Found Check this figure under Cost; read the formula aloud.</t>
  </si>
  <si>
    <t xml:space="preserve">T3</t>
  </si>
  <si>
    <t xml:space="preserve">With help</t>
  </si>
  <si>
    <t xml:space="preserve">Looked for a place to enter the board meeting date; [YOUR DATE] on S2 confused her.</t>
  </si>
  <si>
    <t xml:space="preserve">T5</t>
  </si>
  <si>
    <t xml:space="preserve">"Topping up early would help me – but Hollmann decides that."</t>
  </si>
  <si>
    <t xml:space="preserve">Went to the method sheet unprompted; checked 287,040 ÷ 138.</t>
  </si>
  <si>
    <t xml:space="preserve">T4</t>
  </si>
  <si>
    <t xml:space="preserve">Recalled the saving and the 93% after 10 seconds.</t>
  </si>
  <si>
    <t xml:space="preserve">Asked whether the 2027 forecast assumes the same discount.</t>
  </si>
  <si>
    <t xml:space="preserve">Remembered the People tile first: "Our researchers edit for them – that matters to me."</t>
  </si>
  <si>
    <t xml:space="preserve">"Who checked this besides Lumen?" Wanted an independent source.</t>
  </si>
  <si>
    <t xml:space="preserve">Would have taken it for marketing if not addressed to the library.</t>
  </si>
  <si>
    <t xml:space="preserve">Pleased to be named; asked whether she agreed to it.</t>
  </si>
  <si>
    <t xml:space="preserve">Liked that no login is needed.</t>
  </si>
  <si>
    <t xml:space="preserve">Funder list shows DFG, ERC, Horizon Europe – no SNSF.</t>
  </si>
  <si>
    <t xml:space="preserve">Would forward as is, but needs SNSF compliance for his own case.</t>
  </si>
  <si>
    <t xml:space="preserve">Downloaded raw data (CSV); checked the monitoring fields.</t>
  </si>
  <si>
    <t xml:space="preserve">"Without a peer comparison I can't use this with my members."</t>
  </si>
  <si>
    <t xml:space="preserve">One row per session: the assumption fields and debrief ratings. Use NA where a task was not run.</t>
  </si>
  <si>
    <t xml:space="preserve">A1 Forward unchanged (Y/N)</t>
  </si>
  <si>
    <t xml:space="preserve">A2 Acted on email unprompted (Y/N/NA)</t>
  </si>
  <si>
    <t xml:space="preserve">A3 Trust (1–5)</t>
  </si>
  <si>
    <t xml:space="preserve">Found method unprompted (Y/N/NA)</t>
  </si>
  <si>
    <t xml:space="preserve">A4 Most persuasive tile</t>
  </si>
  <si>
    <t xml:space="preserve">A5 Must-have missing (Y/N)</t>
  </si>
  <si>
    <t xml:space="preserve">Missing items</t>
  </si>
  <si>
    <t xml:space="preserve">A6 Expansion interest (Y/N/NA)</t>
  </si>
  <si>
    <t xml:space="preserve">Budget intent (1–5)</t>
  </si>
  <si>
    <t xml:space="preserve">Email over login (1–5)</t>
  </si>
  <si>
    <t xml:space="preserve">Forward intent (1–5)</t>
  </si>
  <si>
    <t xml:space="preserve">Closing quote</t>
  </si>
  <si>
    <t xml:space="preserve">Compliance</t>
  </si>
  <si>
    <t xml:space="preserve">Board meeting date ([YOUR DATE] placeholder)</t>
  </si>
  <si>
    <t xml:space="preserve">"This saves me two days – if I can add the meeting date."</t>
  </si>
  <si>
    <t xml:space="preserve">NA</t>
  </si>
  <si>
    <t xml:space="preserve">Cost</t>
  </si>
  <si>
    <t xml:space="preserve">Comparison with other publishers</t>
  </si>
  <si>
    <t xml:space="preserve">"One page is right. I'd still want to know how other publishers compare."</t>
  </si>
  <si>
    <t xml:space="preserve">People</t>
  </si>
  <si>
    <t xml:space="preserve">"I'd sign this – but I'd ask who checked the numbers."</t>
  </si>
  <si>
    <t xml:space="preserve">"Seeing my editing work on a board slide is a first."</t>
  </si>
  <si>
    <t xml:space="preserve">SNSF compliance in the funder figure</t>
  </si>
  <si>
    <t xml:space="preserve">"Without SNSF I'd still have to build my own table."</t>
  </si>
  <si>
    <t xml:space="preserve">Peer benchmark, standard monitoring fields</t>
  </si>
  <si>
    <t xml:space="preserve">"Good for one university. For 14 I need the same figures from every publisher."</t>
  </si>
  <si>
    <t xml:space="preserve">Lists</t>
  </si>
  <si>
    <t xml:space="preserve">Reference values for the dropdowns and lookups. Change only if the test guide changes.</t>
  </si>
  <si>
    <t xml:space="preserve">Yes/No</t>
  </si>
  <si>
    <t xml:space="preserve">Yes/No/NA</t>
  </si>
  <si>
    <t xml:space="preserve">Tile</t>
  </si>
  <si>
    <t xml:space="preserve">Receive the kit</t>
  </si>
  <si>
    <t xml:space="preserve">S1 → S2</t>
  </si>
  <si>
    <t xml:space="preserve">A2, A4</t>
  </si>
  <si>
    <t xml:space="preserve">Check a figure</t>
  </si>
  <si>
    <t xml:space="preserve">S2 → S4</t>
  </si>
  <si>
    <t xml:space="preserve">Pass it on</t>
  </si>
  <si>
    <t xml:space="preserve">S3 → S5</t>
  </si>
  <si>
    <t xml:space="preserve">A1, A5</t>
  </si>
  <si>
    <t xml:space="preserve">Cancelled</t>
  </si>
  <si>
    <t xml:space="preserve">Make the case</t>
  </si>
  <si>
    <t xml:space="preserve">Plan ahead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</si>
</sst>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%"/>
    <numFmt numFmtId="167" formatCode="0.0"/>
    <numFmt numFmtId="168" formatCode="0.00"/>
    <numFmt numFmtId="169" formatCode="yyyy\-mm\-dd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A3C"/>
      <name val="Arial"/>
      <family val="0"/>
      <charset val="1"/>
    </font>
    <font>
      <i val="true"/>
      <sz val="10"/>
      <color rgb="FF4A5372"/>
      <name val="Arial"/>
      <family val="0"/>
      <charset val="1"/>
    </font>
    <font>
      <b val="true"/>
      <sz val="12"/>
      <color rgb="FF0F1A3C"/>
      <name val="Arial"/>
      <family val="0"/>
      <charset val="1"/>
    </font>
    <font>
      <b val="true"/>
      <sz val="10"/>
      <color rgb="FF4A5372"/>
      <name val="Arial"/>
      <family val="0"/>
      <charset val="1"/>
    </font>
    <font>
      <b val="true"/>
      <sz val="10"/>
      <color rgb="FF0F1A3C"/>
      <name val="Arial"/>
      <family val="0"/>
      <charset val="1"/>
    </font>
    <font>
      <sz val="10"/>
      <color rgb="FF0F1A3C"/>
      <name val="Arial"/>
      <family val="0"/>
      <charset val="1"/>
    </font>
    <font>
      <b val="true"/>
      <sz val="18"/>
      <color rgb="FF0F1A3C"/>
      <name val="Arial"/>
      <family val="0"/>
      <charset val="1"/>
    </font>
    <font>
      <b val="true"/>
      <sz val="9"/>
      <color rgb="FF4A5372"/>
      <name val="Arial"/>
      <family val="0"/>
      <charset val="1"/>
    </font>
    <font>
      <b val="true"/>
      <sz val="18"/>
      <color rgb="FF1E7A4C"/>
      <name val="Arial"/>
      <family val="0"/>
      <charset val="1"/>
    </font>
    <font>
      <b val="true"/>
      <sz val="18"/>
      <color rgb="FF8A5A00"/>
      <name val="Arial"/>
      <family val="0"/>
      <charset val="1"/>
    </font>
    <font>
      <b val="true"/>
      <sz val="18"/>
      <color rgb="FFB42318"/>
      <name val="Arial"/>
      <family val="0"/>
      <charset val="1"/>
    </font>
    <font>
      <b val="true"/>
      <sz val="13"/>
      <color rgb="FF0F1A3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4A5372"/>
      <name val="Arial"/>
      <family val="0"/>
      <charset val="1"/>
    </font>
    <font>
      <i val="true"/>
      <sz val="10"/>
      <color rgb="FF0F1A3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6E0"/>
        <bgColor rgb="FFF5F6FA"/>
      </patternFill>
    </fill>
    <fill>
      <patternFill patternType="solid">
        <fgColor rgb="FFF5F6FA"/>
        <bgColor rgb="FFFFFFFF"/>
      </patternFill>
    </fill>
    <fill>
      <patternFill patternType="solid">
        <fgColor rgb="FF0F1A3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ADDE7"/>
      </left>
      <right style="thin">
        <color rgb="FFDADDE7"/>
      </right>
      <top style="thin">
        <color rgb="FFDADDE7"/>
      </top>
      <bottom style="thin">
        <color rgb="FFDADD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E7A4C"/>
      </font>
      <fill>
        <patternFill>
          <bgColor rgb="FFE3F1E9"/>
        </patternFill>
      </fill>
    </dxf>
    <dxf>
      <font>
        <name val="Arial"/>
        <charset val="1"/>
        <family val="0"/>
        <b val="1"/>
        <color rgb="FF8A5A00"/>
      </font>
      <fill>
        <patternFill>
          <bgColor rgb="FFFFF6E0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BE4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1E7A4C"/>
      <rgbColor rgb="FFD9D9D9"/>
      <rgbColor rgb="FF878787"/>
      <rgbColor rgb="FF9999FF"/>
      <rgbColor rgb="FF993366"/>
      <rgbColor rgb="FFFFF6E0"/>
      <rgbColor rgb="FFE3F1E9"/>
      <rgbColor rgb="FF660066"/>
      <rgbColor rgb="FFFF8080"/>
      <rgbColor rgb="FF0066CC"/>
      <rgbColor rgb="FFDADD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6FA"/>
      <rgbColor rgb="FFCCFFCC"/>
      <rgbColor rgb="FFFFFF99"/>
      <rgbColor rgb="FF99CCFF"/>
      <rgbColor rgb="FFFF99CC"/>
      <rgbColor rgb="FFCC99FF"/>
      <rgbColor rgb="FFFBE4E1"/>
      <rgbColor rgb="FF3366FF"/>
      <rgbColor rgb="FF33CCCC"/>
      <rgbColor rgb="FF99CC00"/>
      <rgbColor rgb="FFFFB81C"/>
      <rgbColor rgb="FFFF9900"/>
      <rgbColor rgb="FFFF6600"/>
      <rgbColor rgb="FF4A5372"/>
      <rgbColor rgb="FF969696"/>
      <rgbColor rgb="FF0F1A3C"/>
      <rgbColor rgb="FF339966"/>
      <rgbColor rgb="FF003300"/>
      <rgbColor rgb="FF333300"/>
      <rgbColor rgb="FFB42318"/>
      <rgbColor rgb="FF993366"/>
      <rgbColor rgb="FF2747C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success rate (no help needed)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Report!G17</c:f>
              <c:strCache>
                <c:ptCount val="1"/>
                <c:pt idx="0">
                  <c:v>Success rate</c:v>
                </c:pt>
              </c:strCache>
            </c:strRef>
          </c:tx>
          <c:spPr>
            <a:solidFill>
              <a:srgbClr val="0f1a3c"/>
            </a:solidFill>
            <a:ln w="936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Report!$B$18:$B$22</c:f>
              <c:strCache>
                <c:ptCount val="5"/>
                <c:pt idx="0">
                  <c:v>Receive the kit</c:v>
                </c:pt>
                <c:pt idx="1">
                  <c:v>Check a figure</c:v>
                </c:pt>
                <c:pt idx="2">
                  <c:v>Pass it on</c:v>
                </c:pt>
                <c:pt idx="3">
                  <c:v>Make the case</c:v>
                </c:pt>
                <c:pt idx="4">
                  <c:v>Plan ahead</c:v>
                </c:pt>
              </c:strCache>
            </c:strRef>
          </c:cat>
          <c:val>
            <c:numRef>
              <c:f>Report!$G$18:$G$22</c:f>
              <c:numCache>
                <c:formatCode>0%</c:formatCode>
                <c:ptCount val="5"/>
                <c:pt idx="0">
                  <c:v>1</c:v>
                </c:pt>
                <c:pt idx="1">
                  <c:v>0.8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val>
        </c:ser>
        <c:gapWidth val="60"/>
        <c:overlap val="0"/>
        <c:axId val="70206549"/>
        <c:axId val="83202994"/>
      </c:barChart>
      <c:catAx>
        <c:axId val="7020654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02994"/>
        <c:crosses val="autoZero"/>
        <c:auto val="1"/>
        <c:lblAlgn val="ctr"/>
        <c:lblOffset val="100"/>
        <c:noMultiLvlLbl val="0"/>
      </c:catAx>
      <c:valAx>
        <c:axId val="8320299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206549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ease per task (1–7)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Report!I17</c:f>
              <c:strCache>
                <c:ptCount val="1"/>
                <c:pt idx="0">
                  <c:v>Avg. ease</c:v>
                </c:pt>
              </c:strCache>
            </c:strRef>
          </c:tx>
          <c:spPr>
            <a:solidFill>
              <a:srgbClr val="2747c9"/>
            </a:solidFill>
            <a:ln w="936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Report!$B$18:$B$22</c:f>
              <c:strCache>
                <c:ptCount val="5"/>
                <c:pt idx="0">
                  <c:v>Receive the kit</c:v>
                </c:pt>
                <c:pt idx="1">
                  <c:v>Check a figure</c:v>
                </c:pt>
                <c:pt idx="2">
                  <c:v>Pass it on</c:v>
                </c:pt>
                <c:pt idx="3">
                  <c:v>Make the case</c:v>
                </c:pt>
                <c:pt idx="4">
                  <c:v>Plan ahead</c:v>
                </c:pt>
              </c:strCache>
            </c:strRef>
          </c:cat>
          <c:val>
            <c:numRef>
              <c:f>Report!$I$18:$I$22</c:f>
              <c:numCache>
                <c:formatCode>0.0</c:formatCode>
                <c:ptCount val="5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5.25</c:v>
                </c:pt>
                <c:pt idx="4">
                  <c:v>5</c:v>
                </c:pt>
              </c:numCache>
            </c:numRef>
          </c:val>
        </c:ser>
        <c:gapWidth val="60"/>
        <c:overlap val="0"/>
        <c:axId val="10531814"/>
        <c:axId val="62046313"/>
      </c:barChart>
      <c:catAx>
        <c:axId val="1053181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46313"/>
        <c:crosses val="autoZero"/>
        <c:auto val="1"/>
        <c:lblAlgn val="ctr"/>
        <c:lblOffset val="100"/>
        <c:noMultiLvlLbl val="0"/>
      </c:catAx>
      <c:valAx>
        <c:axId val="62046313"/>
        <c:scaling>
          <c:orientation val="minMax"/>
          <c:max val="7"/>
          <c:min val="0"/>
        </c:scaling>
        <c:delete val="1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31814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71640</xdr:rowOff>
    </xdr:from>
    <xdr:to>
      <xdr:col>3</xdr:col>
      <xdr:colOff>654480</xdr:colOff>
      <xdr:row>35</xdr:row>
      <xdr:rowOff>125280</xdr:rowOff>
    </xdr:to>
    <xdr:graphicFrame>
      <xdr:nvGraphicFramePr>
        <xdr:cNvPr id="0" name="Chart 1"/>
        <xdr:cNvGraphicFramePr/>
      </xdr:nvGraphicFramePr>
      <xdr:xfrm>
        <a:off x="0" y="678168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71640</xdr:rowOff>
    </xdr:from>
    <xdr:to>
      <xdr:col>10</xdr:col>
      <xdr:colOff>90360</xdr:colOff>
      <xdr:row>35</xdr:row>
      <xdr:rowOff>125280</xdr:rowOff>
    </xdr:to>
    <xdr:graphicFrame>
      <xdr:nvGraphicFramePr>
        <xdr:cNvPr id="1" name="Chart 2"/>
        <xdr:cNvGraphicFramePr/>
      </xdr:nvGraphicFramePr>
      <xdr:xfrm>
        <a:off x="5074920" y="678168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A3C"/>
    <pageSetUpPr fitToPage="tru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A5" s="4" t="n">
        <v>1</v>
      </c>
      <c r="B5" s="5" t="s">
        <v>3</v>
      </c>
      <c r="C5" s="6" t="s">
        <v>4</v>
      </c>
    </row>
    <row r="6" customFormat="false" ht="15" hidden="false" customHeight="false" outlineLevel="0" collapsed="false">
      <c r="A6" s="4" t="n">
        <v>2</v>
      </c>
      <c r="B6" s="5" t="s">
        <v>5</v>
      </c>
      <c r="C6" s="6" t="s">
        <v>6</v>
      </c>
    </row>
    <row r="7" customFormat="false" ht="15" hidden="false" customHeight="false" outlineLevel="0" collapsed="false">
      <c r="A7" s="4" t="n">
        <v>3</v>
      </c>
      <c r="B7" s="5" t="s">
        <v>7</v>
      </c>
      <c r="C7" s="6" t="s">
        <v>8</v>
      </c>
    </row>
    <row r="8" customFormat="false" ht="15" hidden="false" customHeight="false" outlineLevel="0" collapsed="false">
      <c r="A8" s="4" t="n">
        <v>4</v>
      </c>
      <c r="B8" s="5" t="s">
        <v>9</v>
      </c>
      <c r="C8" s="6" t="s">
        <v>10</v>
      </c>
    </row>
    <row r="9" customFormat="false" ht="15" hidden="false" customHeight="false" outlineLevel="0" collapsed="false">
      <c r="A9" s="4" t="n">
        <v>5</v>
      </c>
      <c r="B9" s="5" t="s">
        <v>11</v>
      </c>
      <c r="C9" s="6" t="s">
        <v>12</v>
      </c>
    </row>
    <row r="11" customFormat="false" ht="15" hidden="false" customHeight="false" outlineLevel="0" collapsed="false">
      <c r="B11" s="3" t="s">
        <v>13</v>
      </c>
    </row>
    <row r="12" customFormat="false" ht="15" hidden="false" customHeight="false" outlineLevel="0" collapsed="false">
      <c r="B12" s="7"/>
      <c r="C12" s="8" t="s">
        <v>14</v>
      </c>
    </row>
    <row r="13" customFormat="false" ht="23.85" hidden="false" customHeight="false" outlineLevel="0" collapsed="false">
      <c r="B13" s="5" t="s">
        <v>15</v>
      </c>
      <c r="C13" s="6" t="s">
        <v>16</v>
      </c>
    </row>
    <row r="14" customFormat="false" ht="15" hidden="false" customHeight="false" outlineLevel="0" collapsed="false">
      <c r="B14" s="5" t="s">
        <v>17</v>
      </c>
      <c r="C14" s="8" t="s">
        <v>18</v>
      </c>
    </row>
    <row r="16" customFormat="false" ht="15" hidden="false" customHeight="false" outlineLevel="0" collapsed="false">
      <c r="B16" s="3" t="s">
        <v>19</v>
      </c>
    </row>
    <row r="17" customFormat="false" ht="15" hidden="false" customHeight="false" outlineLevel="0" collapsed="false">
      <c r="B17" s="5" t="s">
        <v>20</v>
      </c>
      <c r="C17" s="8" t="s">
        <v>21</v>
      </c>
    </row>
    <row r="18" customFormat="false" ht="15" hidden="false" customHeight="false" outlineLevel="0" collapsed="false">
      <c r="B18" s="5" t="s">
        <v>22</v>
      </c>
      <c r="C18" s="8" t="s">
        <v>23</v>
      </c>
    </row>
    <row r="19" customFormat="false" ht="15" hidden="false" customHeight="false" outlineLevel="0" collapsed="false">
      <c r="B19" s="5" t="s">
        <v>24</v>
      </c>
      <c r="C19" s="8" t="s">
        <v>25</v>
      </c>
    </row>
    <row r="20" customFormat="false" ht="15" hidden="false" customHeight="false" outlineLevel="0" collapsed="false">
      <c r="B20" s="5" t="s">
        <v>26</v>
      </c>
      <c r="C20" s="8" t="s">
        <v>27</v>
      </c>
    </row>
    <row r="21" customFormat="false" ht="15" hidden="false" customHeight="false" outlineLevel="0" collapsed="false">
      <c r="B21" s="5" t="s">
        <v>28</v>
      </c>
      <c r="C21" s="8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81C"/>
    <pageSetUpPr fitToPage="true"/>
  </sheetPr>
  <dimension ref="A1:J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10" min="6" style="0" width="12"/>
  </cols>
  <sheetData>
    <row r="1" customFormat="false" ht="22.05" hidden="false" customHeight="false" outlineLevel="0" collapsed="false">
      <c r="A1" s="9" t="s">
        <v>30</v>
      </c>
    </row>
    <row r="2" customFormat="false" ht="15" hidden="false" customHeight="false" outlineLevel="0" collapsed="false">
      <c r="A2" s="2" t="s">
        <v>31</v>
      </c>
    </row>
    <row r="4" customFormat="false" ht="25.5" hidden="false" customHeight="true" outlineLevel="0" collapsed="false">
      <c r="B4" s="10" t="s">
        <v>32</v>
      </c>
      <c r="C4" s="10" t="s">
        <v>33</v>
      </c>
      <c r="D4" s="10" t="s">
        <v>34</v>
      </c>
      <c r="F4" s="10" t="s">
        <v>35</v>
      </c>
      <c r="G4" s="10" t="s">
        <v>36</v>
      </c>
      <c r="H4" s="10" t="s">
        <v>37</v>
      </c>
      <c r="I4" s="10" t="s">
        <v>38</v>
      </c>
      <c r="J4" s="10" t="s">
        <v>39</v>
      </c>
    </row>
    <row r="5" customFormat="false" ht="30" hidden="false" customHeight="true" outlineLevel="0" collapsed="false">
      <c r="B5" s="11" t="n">
        <f aca="false">COUNTIF(Sessions!$K$5:$K$16,"Done")</f>
        <v>6</v>
      </c>
      <c r="C5" s="11" t="n">
        <f aca="false">COUNTA('Task Log'!$C$5:$C$64)</f>
        <v>16</v>
      </c>
      <c r="D5" s="12" t="n">
        <f aca="false">IFERROR(COUNTIF('Task Log'!$E$5:$E$64,"Success")/COUNTA('Task Log'!$E$5:$E$64),"")</f>
        <v>0.8125</v>
      </c>
      <c r="F5" s="13" t="n">
        <f aca="false">IFERROR(AVERAGE('Task Log'!$G$5:$G$64),"")</f>
        <v>5.25</v>
      </c>
      <c r="G5" s="13" t="n">
        <f aca="false">IFERROR(AVERAGE(Observations!$L$5:$L$16),"")</f>
        <v>4</v>
      </c>
      <c r="H5" s="14" t="n">
        <f aca="false">COUNTIF(Assumptions!$I$5:$I$10,"Confirmed")</f>
        <v>2</v>
      </c>
      <c r="I5" s="15" t="n">
        <f aca="false">COUNTIF(Assumptions!$I$5:$I$10,"Mixed")</f>
        <v>3</v>
      </c>
      <c r="J5" s="16" t="n">
        <f aca="false">COUNTIF(Assumptions!$I$5:$I$10,"Rejected")</f>
        <v>1</v>
      </c>
    </row>
    <row r="7" customFormat="false" ht="16.15" hidden="false" customHeight="false" outlineLevel="0" collapsed="false">
      <c r="A7" s="17" t="s">
        <v>40</v>
      </c>
    </row>
    <row r="8" customFormat="false" ht="15" hidden="false" customHeight="false" outlineLevel="0" collapsed="false">
      <c r="A8" s="18" t="s">
        <v>41</v>
      </c>
      <c r="B8" s="18" t="s">
        <v>42</v>
      </c>
      <c r="C8" s="18" t="s">
        <v>43</v>
      </c>
      <c r="D8" s="18" t="s">
        <v>44</v>
      </c>
      <c r="E8" s="18" t="s">
        <v>45</v>
      </c>
      <c r="F8" s="18" t="s">
        <v>46</v>
      </c>
      <c r="G8" s="19" t="s">
        <v>47</v>
      </c>
      <c r="H8" s="19"/>
      <c r="I8" s="19"/>
      <c r="J8" s="19"/>
    </row>
    <row r="9" customFormat="false" ht="39.75" hidden="false" customHeight="true" outlineLevel="0" collapsed="false">
      <c r="A9" s="20" t="str">
        <f aca="false">Assumptions!A5</f>
        <v>A1</v>
      </c>
      <c r="B9" s="21" t="str">
        <f aca="false">Assumptions!B5</f>
        <v>Librarians forward the kit as it is</v>
      </c>
      <c r="C9" s="22" t="n">
        <f aca="false">Assumptions!G5</f>
        <v>0.666666666666667</v>
      </c>
      <c r="D9" s="23" t="str">
        <f aca="false">"≥ "&amp;TEXT(Assumptions!E5,"0%")</f>
        <v>≥ 67%</v>
      </c>
      <c r="E9" s="23" t="n">
        <f aca="false">Assumptions!H5</f>
        <v>6</v>
      </c>
      <c r="F9" s="24" t="str">
        <f aca="false">Assumptions!I5</f>
        <v>Confirmed</v>
      </c>
      <c r="G9" s="21" t="str">
        <f aca="false">Assumptions!J5</f>
        <v>Four of six would forward it unchanged. Miriam needs to add the board meeting date; Ulrike needs comparable figures.</v>
      </c>
      <c r="H9" s="21"/>
      <c r="I9" s="21"/>
      <c r="J9" s="21"/>
    </row>
    <row r="10" customFormat="false" ht="39.75" hidden="false" customHeight="true" outlineLevel="0" collapsed="false">
      <c r="A10" s="20" t="str">
        <f aca="false">Assumptions!A6</f>
        <v>A2</v>
      </c>
      <c r="B10" s="21" t="str">
        <f aca="false">Assumptions!B6</f>
        <v>Push beats login: people act on the email</v>
      </c>
      <c r="C10" s="22" t="n">
        <f aca="false">Assumptions!G6</f>
        <v>0.666666666666667</v>
      </c>
      <c r="D10" s="23" t="str">
        <f aca="false">"≥ "&amp;TEXT(Assumptions!E6,"0%")</f>
        <v>≥ 83%</v>
      </c>
      <c r="E10" s="23" t="n">
        <f aca="false">Assumptions!H6</f>
        <v>3</v>
      </c>
      <c r="F10" s="24" t="str">
        <f aca="false">Assumptions!I6</f>
        <v>Mixed</v>
      </c>
      <c r="G10" s="21" t="str">
        <f aca="false">Assumptions!J6</f>
        <v>Two of three acted at once. Ana read it as marketing – the sender and subject need to say 'your library'.</v>
      </c>
      <c r="H10" s="21"/>
      <c r="I10" s="21"/>
      <c r="J10" s="21"/>
    </row>
    <row r="11" customFormat="false" ht="39.75" hidden="false" customHeight="true" outlineLevel="0" collapsed="false">
      <c r="A11" s="20" t="str">
        <f aca="false">Assumptions!A7</f>
        <v>A3</v>
      </c>
      <c r="B11" s="21" t="str">
        <f aca="false">Assumptions!B7</f>
        <v>A disclosed method makes publisher figures credible</v>
      </c>
      <c r="C11" s="25" t="n">
        <f aca="false">Assumptions!G7</f>
        <v>3.83333333333333</v>
      </c>
      <c r="D11" s="23" t="str">
        <f aca="false">"≥ "&amp;TEXT(Assumptions!E7,"0.0")</f>
        <v>≥ 4.0</v>
      </c>
      <c r="E11" s="23" t="n">
        <f aca="false">Assumptions!H7</f>
        <v>6</v>
      </c>
      <c r="F11" s="24" t="str">
        <f aca="false">Assumptions!I7</f>
        <v>Mixed</v>
      </c>
      <c r="G11" s="21" t="str">
        <f aca="false">Assumptions!J7</f>
        <v>Librarians trust it (4–5); the VP and the consortium stay at 3 and ask for an independent check.</v>
      </c>
      <c r="H11" s="21"/>
      <c r="I11" s="21"/>
      <c r="J11" s="21"/>
    </row>
    <row r="12" customFormat="false" ht="39.75" hidden="false" customHeight="true" outlineLevel="0" collapsed="false">
      <c r="A12" s="20" t="str">
        <f aca="false">Assumptions!A8</f>
        <v>A4</v>
      </c>
      <c r="B12" s="21" t="str">
        <f aca="false">Assumptions!B8</f>
        <v>Cost and compliance tip the decision, not impact</v>
      </c>
      <c r="C12" s="22" t="n">
        <f aca="false">Assumptions!G8</f>
        <v>0.666666666666667</v>
      </c>
      <c r="D12" s="23" t="str">
        <f aca="false">"≥ "&amp;TEXT(Assumptions!E8,"0%")</f>
        <v>≥ 67%</v>
      </c>
      <c r="E12" s="23" t="n">
        <f aca="false">Assumptions!H8</f>
        <v>6</v>
      </c>
      <c r="F12" s="24" t="str">
        <f aca="false">Assumptions!I8</f>
        <v>Confirmed</v>
      </c>
      <c r="G12" s="21" t="str">
        <f aca="false">Assumptions!J8</f>
        <v>Cost and compliance win four of six. People wins with the VP and the researcher – keep the tile.</v>
      </c>
      <c r="H12" s="21"/>
      <c r="I12" s="21"/>
      <c r="J12" s="21"/>
    </row>
    <row r="13" customFormat="false" ht="39.75" hidden="false" customHeight="true" outlineLevel="0" collapsed="false">
      <c r="A13" s="20" t="str">
        <f aca="false">Assumptions!A9</f>
        <v>A5</v>
      </c>
      <c r="B13" s="21" t="str">
        <f aca="false">Assumptions!B9</f>
        <v>The kit is complete without manual additions</v>
      </c>
      <c r="C13" s="22" t="n">
        <f aca="false">Assumptions!G9</f>
        <v>0.333333333333333</v>
      </c>
      <c r="D13" s="23" t="str">
        <f aca="false">"≥ "&amp;TEXT(Assumptions!E9,"0%")</f>
        <v>≥ 67%</v>
      </c>
      <c r="E13" s="23" t="n">
        <f aca="false">Assumptions!H9</f>
        <v>6</v>
      </c>
      <c r="F13" s="24" t="str">
        <f aca="false">Assumptions!I9</f>
        <v>Rejected</v>
      </c>
      <c r="G13" s="21" t="str">
        <f aca="false">Assumptions!J9</f>
        <v>Only two of six need nothing added: meeting date, SNSF, comparison with other publishers and peer benchmarks are missing.</v>
      </c>
      <c r="H13" s="21"/>
      <c r="I13" s="21"/>
      <c r="J13" s="21"/>
    </row>
    <row r="14" customFormat="false" ht="39.75" hidden="false" customHeight="true" outlineLevel="0" collapsed="false">
      <c r="A14" s="20" t="str">
        <f aca="false">Assumptions!A10</f>
        <v>A6</v>
      </c>
      <c r="B14" s="21" t="str">
        <f aca="false">Assumptions!B10</f>
        <v>The kit sparks interest in expanding</v>
      </c>
      <c r="C14" s="22" t="n">
        <f aca="false">Assumptions!G10</f>
        <v>0.4</v>
      </c>
      <c r="D14" s="23" t="str">
        <f aca="false">"≥ "&amp;TEXT(Assumptions!E10,"0%")</f>
        <v>≥ 50%</v>
      </c>
      <c r="E14" s="23" t="n">
        <f aca="false">Assumptions!H10</f>
        <v>5</v>
      </c>
      <c r="F14" s="24" t="str">
        <f aca="false">Assumptions!I10</f>
        <v>Mixed</v>
      </c>
      <c r="G14" s="21" t="str">
        <f aca="false">Assumptions!J10</f>
        <v>Interest comes from the budget side (Miriam, Rainer); the VP and the consortium do not react to the scenario.</v>
      </c>
      <c r="H14" s="21"/>
      <c r="I14" s="21"/>
      <c r="J14" s="21"/>
    </row>
    <row r="16" customFormat="false" ht="16.15" hidden="false" customHeight="false" outlineLevel="0" collapsed="false">
      <c r="A16" s="17" t="s">
        <v>48</v>
      </c>
    </row>
    <row r="17" customFormat="false" ht="15" hidden="false" customHeight="false" outlineLevel="0" collapsed="false">
      <c r="A17" s="26" t="s">
        <v>49</v>
      </c>
      <c r="B17" s="26" t="s">
        <v>50</v>
      </c>
      <c r="C17" s="26" t="s">
        <v>51</v>
      </c>
      <c r="D17" s="26" t="s">
        <v>52</v>
      </c>
      <c r="E17" s="26" t="s">
        <v>53</v>
      </c>
      <c r="F17" s="26" t="s">
        <v>54</v>
      </c>
      <c r="G17" s="26" t="s">
        <v>55</v>
      </c>
      <c r="H17" s="26" t="s">
        <v>56</v>
      </c>
      <c r="I17" s="26" t="s">
        <v>57</v>
      </c>
    </row>
    <row r="18" customFormat="false" ht="15" hidden="false" customHeight="false" outlineLevel="0" collapsed="false">
      <c r="A18" s="20" t="str">
        <f aca="false">Lists!A5</f>
        <v>T1</v>
      </c>
      <c r="B18" s="21" t="str">
        <f aca="false">Lists!B5</f>
        <v>Receive the kit</v>
      </c>
      <c r="C18" s="23" t="n">
        <f aca="false">COUNTIF('Task Log'!$C$5:$C$64,A18)</f>
        <v>3</v>
      </c>
      <c r="D18" s="23" t="n">
        <f aca="false">COUNTIFS('Task Log'!$C$5:$C$64,A18,'Task Log'!$E$5:$E$64,"Success")</f>
        <v>3</v>
      </c>
      <c r="E18" s="23" t="n">
        <f aca="false">COUNTIFS('Task Log'!$C$5:$C$64,A18,'Task Log'!$E$5:$E$64,"With help")</f>
        <v>0</v>
      </c>
      <c r="F18" s="23" t="n">
        <f aca="false">COUNTIFS('Task Log'!$C$5:$C$64,A18,'Task Log'!$E$5:$E$64,"Failed")</f>
        <v>0</v>
      </c>
      <c r="G18" s="22" t="n">
        <f aca="false">IFERROR(D18/C18,0)</f>
        <v>1</v>
      </c>
      <c r="H18" s="27" t="n">
        <f aca="false">IFERROR(AVERAGEIFS('Task Log'!$F$5:$F$64,'Task Log'!$C$5:$C$64,A18),0)</f>
        <v>45</v>
      </c>
      <c r="I18" s="28" t="n">
        <f aca="false">IFERROR(AVERAGEIFS('Task Log'!$G$5:$G$64,'Task Log'!$C$5:$C$64,A18),0)</f>
        <v>6</v>
      </c>
    </row>
    <row r="19" customFormat="false" ht="15" hidden="false" customHeight="false" outlineLevel="0" collapsed="false">
      <c r="A19" s="20" t="str">
        <f aca="false">Lists!A6</f>
        <v>T2</v>
      </c>
      <c r="B19" s="21" t="str">
        <f aca="false">Lists!B6</f>
        <v>Check a figure</v>
      </c>
      <c r="C19" s="23" t="n">
        <f aca="false">COUNTIF('Task Log'!$C$5:$C$64,A19)</f>
        <v>5</v>
      </c>
      <c r="D19" s="23" t="n">
        <f aca="false">COUNTIFS('Task Log'!$C$5:$C$64,A19,'Task Log'!$E$5:$E$64,"Success")</f>
        <v>4</v>
      </c>
      <c r="E19" s="23" t="n">
        <f aca="false">COUNTIFS('Task Log'!$C$5:$C$64,A19,'Task Log'!$E$5:$E$64,"With help")</f>
        <v>1</v>
      </c>
      <c r="F19" s="23" t="n">
        <f aca="false">COUNTIFS('Task Log'!$C$5:$C$64,A19,'Task Log'!$E$5:$E$64,"Failed")</f>
        <v>0</v>
      </c>
      <c r="G19" s="22" t="n">
        <f aca="false">IFERROR(D19/C19,0)</f>
        <v>0.8</v>
      </c>
      <c r="H19" s="27" t="n">
        <f aca="false">IFERROR(AVERAGEIFS('Task Log'!$F$5:$F$64,'Task Log'!$C$5:$C$64,A19),0)</f>
        <v>94</v>
      </c>
      <c r="I19" s="28" t="n">
        <f aca="false">IFERROR(AVERAGEIFS('Task Log'!$G$5:$G$64,'Task Log'!$C$5:$C$64,A19),0)</f>
        <v>5</v>
      </c>
    </row>
    <row r="20" customFormat="false" ht="15" hidden="false" customHeight="false" outlineLevel="0" collapsed="false">
      <c r="A20" s="20" t="str">
        <f aca="false">Lists!A7</f>
        <v>T3</v>
      </c>
      <c r="B20" s="21" t="str">
        <f aca="false">Lists!B7</f>
        <v>Pass it on</v>
      </c>
      <c r="C20" s="23" t="n">
        <f aca="false">COUNTIF('Task Log'!$C$5:$C$64,A20)</f>
        <v>2</v>
      </c>
      <c r="D20" s="23" t="n">
        <f aca="false">COUNTIFS('Task Log'!$C$5:$C$64,A20,'Task Log'!$E$5:$E$64,"Success")</f>
        <v>1</v>
      </c>
      <c r="E20" s="23" t="n">
        <f aca="false">COUNTIFS('Task Log'!$C$5:$C$64,A20,'Task Log'!$E$5:$E$64,"With help")</f>
        <v>1</v>
      </c>
      <c r="F20" s="23" t="n">
        <f aca="false">COUNTIFS('Task Log'!$C$5:$C$64,A20,'Task Log'!$E$5:$E$64,"Failed")</f>
        <v>0</v>
      </c>
      <c r="G20" s="22" t="n">
        <f aca="false">IFERROR(D20/C20,0)</f>
        <v>0.5</v>
      </c>
      <c r="H20" s="27" t="n">
        <f aca="false">IFERROR(AVERAGEIFS('Task Log'!$F$5:$F$64,'Task Log'!$C$5:$C$64,A20),0)</f>
        <v>110</v>
      </c>
      <c r="I20" s="28" t="n">
        <f aca="false">IFERROR(AVERAGEIFS('Task Log'!$G$5:$G$64,'Task Log'!$C$5:$C$64,A20),0)</f>
        <v>5</v>
      </c>
    </row>
    <row r="21" customFormat="false" ht="15" hidden="false" customHeight="false" outlineLevel="0" collapsed="false">
      <c r="A21" s="20" t="str">
        <f aca="false">Lists!A8</f>
        <v>T4</v>
      </c>
      <c r="B21" s="21" t="str">
        <f aca="false">Lists!B8</f>
        <v>Make the case</v>
      </c>
      <c r="C21" s="23" t="n">
        <f aca="false">COUNTIF('Task Log'!$C$5:$C$64,A21)</f>
        <v>4</v>
      </c>
      <c r="D21" s="23" t="n">
        <f aca="false">COUNTIFS('Task Log'!$C$5:$C$64,A21,'Task Log'!$E$5:$E$64,"Success")</f>
        <v>3</v>
      </c>
      <c r="E21" s="23" t="n">
        <f aca="false">COUNTIFS('Task Log'!$C$5:$C$64,A21,'Task Log'!$E$5:$E$64,"With help")</f>
        <v>1</v>
      </c>
      <c r="F21" s="23" t="n">
        <f aca="false">COUNTIFS('Task Log'!$C$5:$C$64,A21,'Task Log'!$E$5:$E$64,"Failed")</f>
        <v>0</v>
      </c>
      <c r="G21" s="22" t="n">
        <f aca="false">IFERROR(D21/C21,0)</f>
        <v>0.75</v>
      </c>
      <c r="H21" s="27" t="n">
        <f aca="false">IFERROR(AVERAGEIFS('Task Log'!$F$5:$F$64,'Task Log'!$C$5:$C$64,A21),0)</f>
        <v>37.5</v>
      </c>
      <c r="I21" s="28" t="n">
        <f aca="false">IFERROR(AVERAGEIFS('Task Log'!$G$5:$G$64,'Task Log'!$C$5:$C$64,A21),0)</f>
        <v>5.25</v>
      </c>
    </row>
    <row r="22" customFormat="false" ht="15" hidden="false" customHeight="false" outlineLevel="0" collapsed="false">
      <c r="A22" s="20" t="str">
        <f aca="false">Lists!A9</f>
        <v>T5</v>
      </c>
      <c r="B22" s="21" t="str">
        <f aca="false">Lists!B9</f>
        <v>Plan ahead</v>
      </c>
      <c r="C22" s="23" t="n">
        <f aca="false">COUNTIF('Task Log'!$C$5:$C$64,A22)</f>
        <v>2</v>
      </c>
      <c r="D22" s="23" t="n">
        <f aca="false">COUNTIFS('Task Log'!$C$5:$C$64,A22,'Task Log'!$E$5:$E$64,"Success")</f>
        <v>2</v>
      </c>
      <c r="E22" s="23" t="n">
        <f aca="false">COUNTIFS('Task Log'!$C$5:$C$64,A22,'Task Log'!$E$5:$E$64,"With help")</f>
        <v>0</v>
      </c>
      <c r="F22" s="23" t="n">
        <f aca="false">COUNTIFS('Task Log'!$C$5:$C$64,A22,'Task Log'!$E$5:$E$64,"Failed")</f>
        <v>0</v>
      </c>
      <c r="G22" s="22" t="n">
        <f aca="false">IFERROR(D22/C22,0)</f>
        <v>1</v>
      </c>
      <c r="H22" s="27" t="n">
        <f aca="false">IFERROR(AVERAGEIFS('Task Log'!$F$5:$F$64,'Task Log'!$C$5:$C$64,A22),0)</f>
        <v>57.5</v>
      </c>
      <c r="I22" s="28" t="n">
        <f aca="false">IFERROR(AVERAGEIFS('Task Log'!$G$5:$G$64,'Task Log'!$C$5:$C$64,A22),0)</f>
        <v>5</v>
      </c>
    </row>
    <row r="23" customFormat="false" ht="15" hidden="false" customHeight="false" outlineLevel="0" collapsed="false">
      <c r="A23" s="29" t="s">
        <v>58</v>
      </c>
    </row>
    <row r="39" customFormat="false" ht="16.15" hidden="false" customHeight="false" outlineLevel="0" collapsed="false">
      <c r="A39" s="17" t="s">
        <v>59</v>
      </c>
    </row>
    <row r="40" customFormat="false" ht="15" hidden="false" customHeight="false" outlineLevel="0" collapsed="false">
      <c r="A40" s="30" t="str">
        <f aca="false">Observations!B5</f>
        <v>P1 Dr. Miriam Kessler</v>
      </c>
      <c r="B40" s="30"/>
      <c r="C40" s="31" t="str">
        <f aca="false">IF(Observations!A5="","",IF(Observations!H5="N","Nothing missing",Observations!I5))</f>
        <v>Board meeting date ([YOUR DATE] placeholder)</v>
      </c>
      <c r="D40" s="31"/>
      <c r="E40" s="31"/>
      <c r="F40" s="31"/>
      <c r="G40" s="31"/>
      <c r="H40" s="31"/>
      <c r="I40" s="31"/>
      <c r="J40" s="31"/>
    </row>
    <row r="41" customFormat="false" ht="15" hidden="false" customHeight="false" outlineLevel="0" collapsed="false">
      <c r="A41" s="30" t="str">
        <f aca="false">Observations!B6</f>
        <v>P3 Dr. Rainer Hollmann</v>
      </c>
      <c r="B41" s="30"/>
      <c r="C41" s="31" t="str">
        <f aca="false">IF(Observations!A6="","",IF(Observations!H6="N","Nothing missing",Observations!I6))</f>
        <v>Comparison with other publishers</v>
      </c>
      <c r="D41" s="31"/>
      <c r="E41" s="31"/>
      <c r="F41" s="31"/>
      <c r="G41" s="31"/>
      <c r="H41" s="31"/>
      <c r="I41" s="31"/>
      <c r="J41" s="31"/>
    </row>
    <row r="42" customFormat="false" ht="15" hidden="false" customHeight="false" outlineLevel="0" collapsed="false">
      <c r="A42" s="30" t="str">
        <f aca="false">Observations!B7</f>
        <v>P4 Prof. Dr. Sabine Aigner</v>
      </c>
      <c r="B42" s="30"/>
      <c r="C42" s="31" t="str">
        <f aca="false">IF(Observations!A7="","",IF(Observations!H7="N","Nothing missing",Observations!I7))</f>
        <v>Nothing missing</v>
      </c>
      <c r="D42" s="31"/>
      <c r="E42" s="31"/>
      <c r="F42" s="31"/>
      <c r="G42" s="31"/>
      <c r="H42" s="31"/>
      <c r="I42" s="31"/>
      <c r="J42" s="31"/>
    </row>
    <row r="43" customFormat="false" ht="15" hidden="false" customHeight="false" outlineLevel="0" collapsed="false">
      <c r="A43" s="30" t="str">
        <f aca="false">Observations!B8</f>
        <v>P6 Dr. Ana Ferreira</v>
      </c>
      <c r="B43" s="30"/>
      <c r="C43" s="31" t="str">
        <f aca="false">IF(Observations!A8="","",IF(Observations!H8="N","Nothing missing",Observations!I8))</f>
        <v>Nothing missing</v>
      </c>
      <c r="D43" s="31"/>
      <c r="E43" s="31"/>
      <c r="F43" s="31"/>
      <c r="G43" s="31"/>
      <c r="H43" s="31"/>
      <c r="I43" s="31"/>
      <c r="J43" s="31"/>
    </row>
    <row r="44" customFormat="false" ht="15" hidden="false" customHeight="false" outlineLevel="0" collapsed="false">
      <c r="A44" s="30" t="str">
        <f aca="false">Observations!B9</f>
        <v>P2 Jonas Brändli</v>
      </c>
      <c r="B44" s="30"/>
      <c r="C44" s="31" t="str">
        <f aca="false">IF(Observations!A9="","",IF(Observations!H9="N","Nothing missing",Observations!I9))</f>
        <v>SNSF compliance in the funder figure</v>
      </c>
      <c r="D44" s="31"/>
      <c r="E44" s="31"/>
      <c r="F44" s="31"/>
      <c r="G44" s="31"/>
      <c r="H44" s="31"/>
      <c r="I44" s="31"/>
      <c r="J44" s="31"/>
    </row>
    <row r="45" customFormat="false" ht="15" hidden="false" customHeight="false" outlineLevel="0" collapsed="false">
      <c r="A45" s="30" t="str">
        <f aca="false">Observations!B10</f>
        <v>P5 Ulrike Sandmann</v>
      </c>
      <c r="B45" s="30"/>
      <c r="C45" s="31" t="str">
        <f aca="false">IF(Observations!A10="","",IF(Observations!H10="N","Nothing missing",Observations!I10))</f>
        <v>Peer benchmark, standard monitoring fields</v>
      </c>
      <c r="D45" s="31"/>
      <c r="E45" s="31"/>
      <c r="F45" s="31"/>
      <c r="G45" s="31"/>
      <c r="H45" s="31"/>
      <c r="I45" s="31"/>
      <c r="J45" s="31"/>
    </row>
    <row r="47" customFormat="false" ht="16.15" hidden="false" customHeight="false" outlineLevel="0" collapsed="false">
      <c r="A47" s="17" t="s">
        <v>60</v>
      </c>
    </row>
    <row r="48" customFormat="false" ht="27.75" hidden="false" customHeight="true" outlineLevel="0" collapsed="false">
      <c r="A48" s="32" t="str">
        <f aca="false">Observations!B5</f>
        <v>P1 Dr. Miriam Kessler</v>
      </c>
      <c r="B48" s="32"/>
      <c r="C48" s="33" t="str">
        <f aca="false">Observations!O5</f>
        <v>"This saves me two days – if I can add the meeting date."</v>
      </c>
      <c r="D48" s="33"/>
      <c r="E48" s="33"/>
      <c r="F48" s="33"/>
      <c r="G48" s="33"/>
      <c r="H48" s="33"/>
      <c r="I48" s="33"/>
      <c r="J48" s="33"/>
    </row>
    <row r="49" customFormat="false" ht="27.75" hidden="false" customHeight="true" outlineLevel="0" collapsed="false">
      <c r="A49" s="32" t="str">
        <f aca="false">Observations!B6</f>
        <v>P3 Dr. Rainer Hollmann</v>
      </c>
      <c r="B49" s="32"/>
      <c r="C49" s="33" t="str">
        <f aca="false">Observations!O6</f>
        <v>"One page is right. I'd still want to know how other publishers compare."</v>
      </c>
      <c r="D49" s="33"/>
      <c r="E49" s="33"/>
      <c r="F49" s="33"/>
      <c r="G49" s="33"/>
      <c r="H49" s="33"/>
      <c r="I49" s="33"/>
      <c r="J49" s="33"/>
    </row>
    <row r="50" customFormat="false" ht="27.75" hidden="false" customHeight="true" outlineLevel="0" collapsed="false">
      <c r="A50" s="32" t="str">
        <f aca="false">Observations!B7</f>
        <v>P4 Prof. Dr. Sabine Aigner</v>
      </c>
      <c r="B50" s="32"/>
      <c r="C50" s="33" t="str">
        <f aca="false">Observations!O7</f>
        <v>"I'd sign this – but I'd ask who checked the numbers."</v>
      </c>
      <c r="D50" s="33"/>
      <c r="E50" s="33"/>
      <c r="F50" s="33"/>
      <c r="G50" s="33"/>
      <c r="H50" s="33"/>
      <c r="I50" s="33"/>
      <c r="J50" s="33"/>
    </row>
    <row r="51" customFormat="false" ht="27.75" hidden="false" customHeight="true" outlineLevel="0" collapsed="false">
      <c r="A51" s="32" t="str">
        <f aca="false">Observations!B8</f>
        <v>P6 Dr. Ana Ferreira</v>
      </c>
      <c r="B51" s="32"/>
      <c r="C51" s="33" t="str">
        <f aca="false">Observations!O8</f>
        <v>"Seeing my editing work on a board slide is a first."</v>
      </c>
      <c r="D51" s="33"/>
      <c r="E51" s="33"/>
      <c r="F51" s="33"/>
      <c r="G51" s="33"/>
      <c r="H51" s="33"/>
      <c r="I51" s="33"/>
      <c r="J51" s="33"/>
    </row>
    <row r="52" customFormat="false" ht="27.75" hidden="false" customHeight="true" outlineLevel="0" collapsed="false">
      <c r="A52" s="32" t="str">
        <f aca="false">Observations!B9</f>
        <v>P2 Jonas Brändli</v>
      </c>
      <c r="B52" s="32"/>
      <c r="C52" s="33" t="str">
        <f aca="false">Observations!O9</f>
        <v>"Without SNSF I'd still have to build my own table."</v>
      </c>
      <c r="D52" s="33"/>
      <c r="E52" s="33"/>
      <c r="F52" s="33"/>
      <c r="G52" s="33"/>
      <c r="H52" s="33"/>
      <c r="I52" s="33"/>
      <c r="J52" s="33"/>
    </row>
    <row r="53" customFormat="false" ht="27.75" hidden="false" customHeight="true" outlineLevel="0" collapsed="false">
      <c r="A53" s="32" t="str">
        <f aca="false">Observations!B10</f>
        <v>P5 Ulrike Sandmann</v>
      </c>
      <c r="B53" s="32"/>
      <c r="C53" s="33" t="str">
        <f aca="false">Observations!O10</f>
        <v>"Good for one university. For 14 I need the same figures from every publisher."</v>
      </c>
      <c r="D53" s="33"/>
      <c r="E53" s="33"/>
      <c r="F53" s="33"/>
      <c r="G53" s="33"/>
      <c r="H53" s="33"/>
      <c r="I53" s="33"/>
      <c r="J53" s="33"/>
    </row>
    <row r="55" customFormat="false" ht="16.15" hidden="false" customHeight="false" outlineLevel="0" collapsed="false">
      <c r="A55" s="17" t="s">
        <v>61</v>
      </c>
    </row>
    <row r="56" customFormat="false" ht="27.75" hidden="false" customHeight="true" outlineLevel="0" collapsed="false">
      <c r="A56" s="34" t="s">
        <v>62</v>
      </c>
      <c r="B56" s="34"/>
      <c r="C56" s="34"/>
      <c r="D56" s="34"/>
      <c r="E56" s="34"/>
      <c r="F56" s="34"/>
      <c r="G56" s="34"/>
      <c r="H56" s="34"/>
      <c r="I56" s="34"/>
      <c r="J56" s="34"/>
    </row>
    <row r="57" customFormat="false" ht="27.75" hidden="false" customHeight="true" outlineLevel="0" collapsed="false">
      <c r="A57" s="34" t="s">
        <v>63</v>
      </c>
      <c r="B57" s="34"/>
      <c r="C57" s="34"/>
      <c r="D57" s="34"/>
      <c r="E57" s="34"/>
      <c r="F57" s="34"/>
      <c r="G57" s="34"/>
      <c r="H57" s="34"/>
      <c r="I57" s="34"/>
      <c r="J57" s="34"/>
    </row>
    <row r="58" customFormat="false" ht="27.75" hidden="false" customHeight="true" outlineLevel="0" collapsed="false">
      <c r="A58" s="34" t="s">
        <v>64</v>
      </c>
      <c r="B58" s="34"/>
      <c r="C58" s="34"/>
      <c r="D58" s="34"/>
      <c r="E58" s="34"/>
      <c r="F58" s="34"/>
      <c r="G58" s="34"/>
      <c r="H58" s="34"/>
      <c r="I58" s="34"/>
      <c r="J58" s="34"/>
    </row>
    <row r="59" customFormat="false" ht="27.75" hidden="false" customHeight="true" outlineLevel="0" collapsed="false">
      <c r="A59" s="34" t="s">
        <v>65</v>
      </c>
      <c r="B59" s="34"/>
      <c r="C59" s="34"/>
      <c r="D59" s="34"/>
      <c r="E59" s="34"/>
      <c r="F59" s="34"/>
      <c r="G59" s="34"/>
      <c r="H59" s="34"/>
      <c r="I59" s="34"/>
      <c r="J59" s="34"/>
    </row>
    <row r="60" customFormat="false" ht="27.75" hidden="false" customHeight="true" outlineLevel="0" collapsed="false">
      <c r="A60" s="34" t="s">
        <v>66</v>
      </c>
      <c r="B60" s="34"/>
      <c r="C60" s="34"/>
      <c r="D60" s="34"/>
      <c r="E60" s="34"/>
      <c r="F60" s="34"/>
      <c r="G60" s="34"/>
      <c r="H60" s="34"/>
      <c r="I60" s="34"/>
      <c r="J60" s="34"/>
    </row>
  </sheetData>
  <mergeCells count="36">
    <mergeCell ref="G8:J8"/>
    <mergeCell ref="G9:J9"/>
    <mergeCell ref="G10:J10"/>
    <mergeCell ref="G11:J11"/>
    <mergeCell ref="G12:J12"/>
    <mergeCell ref="G13:J13"/>
    <mergeCell ref="G14:J14"/>
    <mergeCell ref="A40:B40"/>
    <mergeCell ref="C40:J40"/>
    <mergeCell ref="A41:B41"/>
    <mergeCell ref="C41:J41"/>
    <mergeCell ref="A42:B42"/>
    <mergeCell ref="C42:J42"/>
    <mergeCell ref="A43:B43"/>
    <mergeCell ref="C43:J43"/>
    <mergeCell ref="A44:B44"/>
    <mergeCell ref="C44:J44"/>
    <mergeCell ref="A45:B45"/>
    <mergeCell ref="C45:J45"/>
    <mergeCell ref="A48:B48"/>
    <mergeCell ref="C48:J48"/>
    <mergeCell ref="A49:B49"/>
    <mergeCell ref="C49:J49"/>
    <mergeCell ref="A50:B50"/>
    <mergeCell ref="C50:J50"/>
    <mergeCell ref="A51:B51"/>
    <mergeCell ref="C51:J51"/>
    <mergeCell ref="A52:B52"/>
    <mergeCell ref="C52:J52"/>
    <mergeCell ref="A53:B53"/>
    <mergeCell ref="C53:J53"/>
    <mergeCell ref="A56:J56"/>
    <mergeCell ref="A57:J57"/>
    <mergeCell ref="A58:J58"/>
    <mergeCell ref="A59:J59"/>
    <mergeCell ref="A60:J60"/>
  </mergeCells>
  <conditionalFormatting sqref="F9:F14">
    <cfRule type="expression" priority="2" aboveAverage="0" equalAverage="0" bottom="0" percent="0" rank="0" text="" dxfId="0">
      <formula>F9="Confirmed"</formula>
    </cfRule>
    <cfRule type="expression" priority="3" aboveAverage="0" equalAverage="0" bottom="0" percent="0" rank="0" text="" dxfId="1">
      <formula>F9="Mixed"</formula>
    </cfRule>
    <cfRule type="expression" priority="4" aboveAverage="0" equalAverage="0" bottom="0" percent="0" rank="0" text="" dxfId="2">
      <formula>F9="Rejected"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A3C"/>
    <pageSetUpPr fitToPage="tru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6"/>
    <col collapsed="false" customWidth="true" hidden="false" outlineLevel="0" max="9" min="9" style="0" width="12"/>
    <col collapsed="false" customWidth="true" hidden="false" outlineLevel="0" max="10" min="10" style="0" width="60"/>
  </cols>
  <sheetData>
    <row r="1" customFormat="false" ht="19.7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67</v>
      </c>
    </row>
    <row r="4" customFormat="false" ht="30" hidden="false" customHeight="true" outlineLevel="0" collapsed="false">
      <c r="A4" s="26" t="s">
        <v>41</v>
      </c>
      <c r="B4" s="26" t="s">
        <v>42</v>
      </c>
      <c r="C4" s="26" t="s">
        <v>68</v>
      </c>
      <c r="D4" s="26" t="s">
        <v>69</v>
      </c>
      <c r="E4" s="26" t="s">
        <v>70</v>
      </c>
      <c r="F4" s="26" t="s">
        <v>71</v>
      </c>
      <c r="G4" s="26" t="s">
        <v>43</v>
      </c>
      <c r="H4" s="26" t="s">
        <v>45</v>
      </c>
      <c r="I4" s="26" t="s">
        <v>46</v>
      </c>
      <c r="J4" s="26" t="s">
        <v>72</v>
      </c>
    </row>
    <row r="5" customFormat="false" ht="42" hidden="false" customHeight="true" outlineLevel="0" collapsed="false">
      <c r="A5" s="20" t="s">
        <v>73</v>
      </c>
      <c r="B5" s="21" t="s">
        <v>74</v>
      </c>
      <c r="C5" s="23" t="s">
        <v>75</v>
      </c>
      <c r="D5" s="21" t="s">
        <v>76</v>
      </c>
      <c r="E5" s="35" t="n">
        <v>0.666</v>
      </c>
      <c r="F5" s="35" t="n">
        <v>0.5</v>
      </c>
      <c r="G5" s="22" t="n">
        <f aca="false">IFERROR(COUNTIF(Observations!$C$5:$C$16,"Y")/(COUNTIF(Observations!$C$5:$C$16,"Y")+COUNTIF(Observations!$C$5:$C$16,"N")),"")</f>
        <v>0.666666666666667</v>
      </c>
      <c r="H5" s="23" t="n">
        <f aca="false">COUNTIF(Observations!$C$5:$C$16,"Y")+COUNTIF(Observations!$C$5:$C$16,"N")</f>
        <v>6</v>
      </c>
      <c r="I5" s="24" t="str">
        <f aca="false">IF(OR(H5=0,G5=""),"No data",IF(G5&gt;=E5,"Confirmed",IF(G5&lt;F5,"Rejected","Mixed")))</f>
        <v>Confirmed</v>
      </c>
      <c r="J5" s="36" t="s">
        <v>77</v>
      </c>
    </row>
    <row r="6" customFormat="false" ht="42" hidden="false" customHeight="true" outlineLevel="0" collapsed="false">
      <c r="A6" s="20" t="s">
        <v>78</v>
      </c>
      <c r="B6" s="21" t="s">
        <v>79</v>
      </c>
      <c r="C6" s="23" t="s">
        <v>75</v>
      </c>
      <c r="D6" s="21" t="s">
        <v>80</v>
      </c>
      <c r="E6" s="35" t="n">
        <v>0.833</v>
      </c>
      <c r="F6" s="35" t="n">
        <v>0.666</v>
      </c>
      <c r="G6" s="22" t="n">
        <f aca="false">IFERROR(COUNTIF(Observations!$D$5:$D$16,"Y")/(COUNTIF(Observations!$D$5:$D$16,"Y")+COUNTIF(Observations!$D$5:$D$16,"N")),"")</f>
        <v>0.666666666666667</v>
      </c>
      <c r="H6" s="23" t="n">
        <f aca="false">COUNTIF(Observations!$D$5:$D$16,"Y")+COUNTIF(Observations!$D$5:$D$16,"N")</f>
        <v>3</v>
      </c>
      <c r="I6" s="24" t="str">
        <f aca="false">IF(OR(H6=0,G6=""),"No data",IF(G6&gt;=E6,"Confirmed",IF(G6&lt;F6,"Rejected","Mixed")))</f>
        <v>Mixed</v>
      </c>
      <c r="J6" s="36" t="s">
        <v>81</v>
      </c>
    </row>
    <row r="7" customFormat="false" ht="42" hidden="false" customHeight="true" outlineLevel="0" collapsed="false">
      <c r="A7" s="20" t="s">
        <v>82</v>
      </c>
      <c r="B7" s="21" t="s">
        <v>83</v>
      </c>
      <c r="C7" s="23" t="s">
        <v>84</v>
      </c>
      <c r="D7" s="21" t="s">
        <v>85</v>
      </c>
      <c r="E7" s="37" t="n">
        <v>4</v>
      </c>
      <c r="F7" s="37" t="n">
        <v>3.5</v>
      </c>
      <c r="G7" s="25" t="n">
        <f aca="false">IFERROR(AVERAGE(Observations!$E$5:$E$16),"")</f>
        <v>3.83333333333333</v>
      </c>
      <c r="H7" s="23" t="n">
        <f aca="false">COUNT(Observations!$E$5:$E$16)</f>
        <v>6</v>
      </c>
      <c r="I7" s="24" t="str">
        <f aca="false">IF(OR(H7=0,G7=""),"No data",IF(G7&gt;=E7,"Confirmed",IF(G7&lt;F7,"Rejected","Mixed")))</f>
        <v>Mixed</v>
      </c>
      <c r="J7" s="36" t="s">
        <v>86</v>
      </c>
    </row>
    <row r="8" customFormat="false" ht="42" hidden="false" customHeight="true" outlineLevel="0" collapsed="false">
      <c r="A8" s="20" t="s">
        <v>87</v>
      </c>
      <c r="B8" s="21" t="s">
        <v>88</v>
      </c>
      <c r="C8" s="23" t="s">
        <v>89</v>
      </c>
      <c r="D8" s="21" t="s">
        <v>90</v>
      </c>
      <c r="E8" s="35" t="n">
        <v>0.666</v>
      </c>
      <c r="F8" s="35" t="n">
        <v>0.5</v>
      </c>
      <c r="G8" s="22" t="n">
        <f aca="false">IFERROR((COUNTIF(Observations!$G$5:$G$16,"Cost")+COUNTIF(Observations!$G$5:$G$16,"Compliance"))/COUNTIF(Observations!$G$5:$G$16,"?*"),"")</f>
        <v>0.666666666666667</v>
      </c>
      <c r="H8" s="23" t="n">
        <f aca="false">COUNTIF(Observations!$G$5:$G$16,"?*")</f>
        <v>6</v>
      </c>
      <c r="I8" s="24" t="str">
        <f aca="false">IF(OR(H8=0,G8=""),"No data",IF(G8&gt;=E8,"Confirmed",IF(G8&lt;F8,"Rejected","Mixed")))</f>
        <v>Confirmed</v>
      </c>
      <c r="J8" s="36" t="s">
        <v>91</v>
      </c>
    </row>
    <row r="9" customFormat="false" ht="42" hidden="false" customHeight="true" outlineLevel="0" collapsed="false">
      <c r="A9" s="20" t="s">
        <v>92</v>
      </c>
      <c r="B9" s="21" t="s">
        <v>93</v>
      </c>
      <c r="C9" s="23" t="s">
        <v>94</v>
      </c>
      <c r="D9" s="21" t="s">
        <v>95</v>
      </c>
      <c r="E9" s="35" t="n">
        <v>0.666</v>
      </c>
      <c r="F9" s="35" t="n">
        <v>0.5</v>
      </c>
      <c r="G9" s="22" t="n">
        <f aca="false">IFERROR(COUNTIF(Observations!$H$5:$H$16,"N")/(COUNTIF(Observations!$H$5:$H$16,"Y")+COUNTIF(Observations!$H$5:$H$16,"N")),"")</f>
        <v>0.333333333333333</v>
      </c>
      <c r="H9" s="23" t="n">
        <f aca="false">COUNTIF(Observations!$H$5:$H$16,"Y")+COUNTIF(Observations!$H$5:$H$16,"N")</f>
        <v>6</v>
      </c>
      <c r="I9" s="24" t="str">
        <f aca="false">IF(OR(H9=0,G9=""),"No data",IF(G9&gt;=E9,"Confirmed",IF(G9&lt;F9,"Rejected","Mixed")))</f>
        <v>Rejected</v>
      </c>
      <c r="J9" s="36" t="s">
        <v>96</v>
      </c>
    </row>
    <row r="10" customFormat="false" ht="42" hidden="false" customHeight="true" outlineLevel="0" collapsed="false">
      <c r="A10" s="20" t="s">
        <v>97</v>
      </c>
      <c r="B10" s="21" t="s">
        <v>98</v>
      </c>
      <c r="C10" s="23" t="s">
        <v>99</v>
      </c>
      <c r="D10" s="21" t="s">
        <v>100</v>
      </c>
      <c r="E10" s="35" t="n">
        <v>0.5</v>
      </c>
      <c r="F10" s="35" t="n">
        <v>0.333</v>
      </c>
      <c r="G10" s="22" t="n">
        <f aca="false">IFERROR(COUNTIF(Observations!$J$5:$J$16,"Y")/(COUNTIF(Observations!$J$5:$J$16,"Y")+COUNTIF(Observations!$J$5:$J$16,"N")),"")</f>
        <v>0.4</v>
      </c>
      <c r="H10" s="23" t="n">
        <f aca="false">COUNTIF(Observations!$J$5:$J$16,"Y")+COUNTIF(Observations!$J$5:$J$16,"N")</f>
        <v>5</v>
      </c>
      <c r="I10" s="24" t="str">
        <f aca="false">IF(OR(H10=0,G10=""),"No data",IF(G10&gt;=E10,"Confirmed",IF(G10&lt;F10,"Rejected","Mixed")))</f>
        <v>Mixed</v>
      </c>
      <c r="J10" s="36" t="s">
        <v>101</v>
      </c>
    </row>
    <row r="12" customFormat="false" ht="15" hidden="false" customHeight="false" outlineLevel="0" collapsed="false">
      <c r="A12" s="29" t="s">
        <v>102</v>
      </c>
    </row>
  </sheetData>
  <conditionalFormatting sqref="I5:I10">
    <cfRule type="expression" priority="2" aboveAverage="0" equalAverage="0" bottom="0" percent="0" rank="0" text="" dxfId="0">
      <formula>I5="Confirmed"</formula>
    </cfRule>
    <cfRule type="expression" priority="3" aboveAverage="0" equalAverage="0" bottom="0" percent="0" rank="0" text="" dxfId="1">
      <formula>I5="Mixed"</formula>
    </cfRule>
    <cfRule type="expression" priority="4" aboveAverage="0" equalAverage="0" bottom="0" percent="0" rank="0" text="" dxfId="2">
      <formula>I5="Rejected"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A3C"/>
    <pageSetUpPr fitToPage="tru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9"/>
    <col collapsed="false" customWidth="true" hidden="false" outlineLevel="0" max="11" min="11" style="0" width="11"/>
  </cols>
  <sheetData>
    <row r="1" customFormat="false" ht="19.7" hidden="false" customHeight="false" outlineLevel="0" collapsed="false">
      <c r="A1" s="1" t="s">
        <v>3</v>
      </c>
    </row>
    <row r="2" customFormat="false" ht="15" hidden="false" customHeight="false" outlineLevel="0" collapsed="false">
      <c r="A2" s="2" t="s">
        <v>103</v>
      </c>
    </row>
    <row r="4" customFormat="false" ht="30" hidden="false" customHeight="true" outlineLevel="0" collapsed="false">
      <c r="A4" s="26" t="s">
        <v>104</v>
      </c>
      <c r="B4" s="26" t="s">
        <v>105</v>
      </c>
      <c r="C4" s="26" t="s">
        <v>106</v>
      </c>
      <c r="D4" s="26" t="s">
        <v>50</v>
      </c>
      <c r="E4" s="26" t="s">
        <v>107</v>
      </c>
      <c r="F4" s="26" t="s">
        <v>108</v>
      </c>
      <c r="G4" s="26" t="s">
        <v>109</v>
      </c>
      <c r="H4" s="26" t="s">
        <v>48</v>
      </c>
      <c r="I4" s="26" t="s">
        <v>110</v>
      </c>
      <c r="J4" s="26" t="s">
        <v>111</v>
      </c>
      <c r="K4" s="26" t="s">
        <v>46</v>
      </c>
    </row>
    <row r="5" customFormat="false" ht="15" hidden="false" customHeight="false" outlineLevel="0" collapsed="false">
      <c r="A5" s="21" t="s">
        <v>112</v>
      </c>
      <c r="B5" s="36" t="n">
        <v>1</v>
      </c>
      <c r="C5" s="36" t="s">
        <v>113</v>
      </c>
      <c r="D5" s="36" t="s">
        <v>114</v>
      </c>
      <c r="E5" s="36" t="s">
        <v>115</v>
      </c>
      <c r="F5" s="36" t="s">
        <v>116</v>
      </c>
      <c r="G5" s="38" t="n">
        <v>46335</v>
      </c>
      <c r="H5" s="36" t="s">
        <v>117</v>
      </c>
      <c r="I5" s="36" t="s">
        <v>118</v>
      </c>
      <c r="J5" s="36" t="s">
        <v>119</v>
      </c>
      <c r="K5" s="36" t="s">
        <v>120</v>
      </c>
    </row>
    <row r="6" customFormat="false" ht="15" hidden="false" customHeight="false" outlineLevel="0" collapsed="false">
      <c r="A6" s="21" t="s">
        <v>121</v>
      </c>
      <c r="B6" s="36" t="n">
        <v>2</v>
      </c>
      <c r="C6" s="36" t="s">
        <v>122</v>
      </c>
      <c r="D6" s="36" t="s">
        <v>123</v>
      </c>
      <c r="E6" s="36" t="s">
        <v>124</v>
      </c>
      <c r="F6" s="36" t="s">
        <v>116</v>
      </c>
      <c r="G6" s="38" t="n">
        <v>46335</v>
      </c>
      <c r="H6" s="36" t="s">
        <v>125</v>
      </c>
      <c r="I6" s="36" t="s">
        <v>118</v>
      </c>
      <c r="J6" s="36" t="s">
        <v>119</v>
      </c>
      <c r="K6" s="36" t="s">
        <v>120</v>
      </c>
    </row>
    <row r="7" customFormat="false" ht="15" hidden="false" customHeight="false" outlineLevel="0" collapsed="false">
      <c r="A7" s="21" t="s">
        <v>126</v>
      </c>
      <c r="B7" s="36" t="n">
        <v>3</v>
      </c>
      <c r="C7" s="36" t="s">
        <v>127</v>
      </c>
      <c r="D7" s="36" t="s">
        <v>128</v>
      </c>
      <c r="E7" s="36" t="s">
        <v>129</v>
      </c>
      <c r="F7" s="36" t="s">
        <v>116</v>
      </c>
      <c r="G7" s="38" t="n">
        <v>46335</v>
      </c>
      <c r="H7" s="36" t="s">
        <v>130</v>
      </c>
      <c r="I7" s="36" t="s">
        <v>118</v>
      </c>
      <c r="J7" s="36" t="s">
        <v>119</v>
      </c>
      <c r="K7" s="36" t="s">
        <v>120</v>
      </c>
    </row>
    <row r="8" customFormat="false" ht="15" hidden="false" customHeight="false" outlineLevel="0" collapsed="false">
      <c r="A8" s="21" t="s">
        <v>131</v>
      </c>
      <c r="B8" s="36" t="n">
        <v>4</v>
      </c>
      <c r="C8" s="36" t="s">
        <v>132</v>
      </c>
      <c r="D8" s="36" t="s">
        <v>133</v>
      </c>
      <c r="E8" s="36" t="s">
        <v>134</v>
      </c>
      <c r="F8" s="36" t="s">
        <v>116</v>
      </c>
      <c r="G8" s="38" t="n">
        <v>46335</v>
      </c>
      <c r="H8" s="36" t="s">
        <v>135</v>
      </c>
      <c r="I8" s="36" t="s">
        <v>118</v>
      </c>
      <c r="J8" s="36" t="s">
        <v>119</v>
      </c>
      <c r="K8" s="36" t="s">
        <v>120</v>
      </c>
    </row>
    <row r="9" customFormat="false" ht="15" hidden="false" customHeight="false" outlineLevel="0" collapsed="false">
      <c r="A9" s="21" t="s">
        <v>136</v>
      </c>
      <c r="B9" s="36" t="n">
        <v>5</v>
      </c>
      <c r="C9" s="36" t="s">
        <v>137</v>
      </c>
      <c r="D9" s="36" t="s">
        <v>138</v>
      </c>
      <c r="E9" s="36" t="s">
        <v>139</v>
      </c>
      <c r="F9" s="36" t="s">
        <v>116</v>
      </c>
      <c r="G9" s="38" t="n">
        <v>46335</v>
      </c>
      <c r="H9" s="36" t="s">
        <v>140</v>
      </c>
      <c r="I9" s="36" t="s">
        <v>118</v>
      </c>
      <c r="J9" s="36" t="s">
        <v>119</v>
      </c>
      <c r="K9" s="36" t="s">
        <v>120</v>
      </c>
    </row>
    <row r="10" customFormat="false" ht="15" hidden="false" customHeight="false" outlineLevel="0" collapsed="false">
      <c r="A10" s="21" t="s">
        <v>141</v>
      </c>
      <c r="B10" s="36" t="n">
        <v>6</v>
      </c>
      <c r="C10" s="36" t="s">
        <v>142</v>
      </c>
      <c r="D10" s="36" t="s">
        <v>143</v>
      </c>
      <c r="E10" s="36" t="s">
        <v>144</v>
      </c>
      <c r="F10" s="36" t="s">
        <v>116</v>
      </c>
      <c r="G10" s="38" t="n">
        <v>46335</v>
      </c>
      <c r="H10" s="36" t="s">
        <v>145</v>
      </c>
      <c r="I10" s="36" t="s">
        <v>118</v>
      </c>
      <c r="J10" s="36" t="s">
        <v>119</v>
      </c>
      <c r="K10" s="36" t="s">
        <v>120</v>
      </c>
    </row>
    <row r="11" customFormat="false" ht="15" hidden="false" customHeight="false" outlineLevel="0" collapsed="false">
      <c r="A11" s="21" t="s">
        <v>146</v>
      </c>
      <c r="B11" s="36" t="n">
        <v>7</v>
      </c>
      <c r="C11" s="36" t="s">
        <v>147</v>
      </c>
      <c r="D11" s="36" t="s">
        <v>148</v>
      </c>
      <c r="E11" s="36" t="s">
        <v>149</v>
      </c>
      <c r="F11" s="36" t="s">
        <v>150</v>
      </c>
      <c r="G11" s="38"/>
      <c r="H11" s="36" t="s">
        <v>140</v>
      </c>
      <c r="I11" s="36" t="s">
        <v>118</v>
      </c>
      <c r="J11" s="36"/>
      <c r="K11" s="36" t="s">
        <v>151</v>
      </c>
    </row>
    <row r="12" customFormat="false" ht="15" hidden="false" customHeight="false" outlineLevel="0" collapsed="false">
      <c r="A12" s="21" t="s">
        <v>152</v>
      </c>
      <c r="B12" s="36" t="n">
        <v>8</v>
      </c>
      <c r="C12" s="36" t="s">
        <v>153</v>
      </c>
      <c r="D12" s="36" t="s">
        <v>154</v>
      </c>
      <c r="E12" s="36" t="s">
        <v>149</v>
      </c>
      <c r="F12" s="36" t="s">
        <v>150</v>
      </c>
      <c r="G12" s="38"/>
      <c r="H12" s="36" t="s">
        <v>140</v>
      </c>
      <c r="I12" s="36" t="s">
        <v>118</v>
      </c>
      <c r="J12" s="36"/>
      <c r="K12" s="36" t="s">
        <v>151</v>
      </c>
    </row>
    <row r="13" customFormat="false" ht="15" hidden="false" customHeight="false" outlineLevel="0" collapsed="false">
      <c r="A13" s="21" t="s">
        <v>155</v>
      </c>
      <c r="B13" s="36" t="n">
        <v>9</v>
      </c>
      <c r="C13" s="36" t="s">
        <v>156</v>
      </c>
      <c r="D13" s="36" t="s">
        <v>157</v>
      </c>
      <c r="E13" s="36" t="s">
        <v>149</v>
      </c>
      <c r="F13" s="36" t="s">
        <v>150</v>
      </c>
      <c r="G13" s="38"/>
      <c r="H13" s="36" t="s">
        <v>125</v>
      </c>
      <c r="I13" s="36" t="s">
        <v>118</v>
      </c>
      <c r="J13" s="36"/>
      <c r="K13" s="36" t="s">
        <v>151</v>
      </c>
    </row>
    <row r="14" customFormat="false" ht="15" hidden="false" customHeight="false" outlineLevel="0" collapsed="false">
      <c r="A14" s="21" t="s">
        <v>158</v>
      </c>
      <c r="B14" s="36"/>
      <c r="C14" s="36"/>
      <c r="D14" s="36"/>
      <c r="E14" s="36"/>
      <c r="F14" s="36"/>
      <c r="G14" s="38"/>
      <c r="H14" s="36"/>
      <c r="I14" s="36"/>
      <c r="J14" s="36"/>
      <c r="K14" s="36"/>
    </row>
    <row r="15" customFormat="false" ht="15" hidden="false" customHeight="false" outlineLevel="0" collapsed="false">
      <c r="A15" s="21" t="s">
        <v>159</v>
      </c>
      <c r="B15" s="36"/>
      <c r="C15" s="36"/>
      <c r="D15" s="36"/>
      <c r="E15" s="36"/>
      <c r="F15" s="36"/>
      <c r="G15" s="38"/>
      <c r="H15" s="36"/>
      <c r="I15" s="36"/>
      <c r="J15" s="36"/>
      <c r="K15" s="36"/>
    </row>
    <row r="16" customFormat="false" ht="15" hidden="false" customHeight="false" outlineLevel="0" collapsed="false">
      <c r="A16" s="21" t="s">
        <v>160</v>
      </c>
      <c r="B16" s="36"/>
      <c r="C16" s="36"/>
      <c r="D16" s="36"/>
      <c r="E16" s="36"/>
      <c r="F16" s="36"/>
      <c r="G16" s="38"/>
      <c r="H16" s="36"/>
      <c r="I16" s="36"/>
      <c r="J16" s="36"/>
      <c r="K16" s="36"/>
    </row>
  </sheetData>
  <dataValidations count="3">
    <dataValidation allowBlank="true" errorStyle="stop" operator="between" showDropDown="false" showErrorMessage="false" showInputMessage="false" sqref="F5:F16" type="list">
      <formula1>Lists!$J$5:$J$6</formula1>
      <formula2>0</formula2>
    </dataValidation>
    <dataValidation allowBlank="true" errorStyle="stop" operator="between" showDropDown="false" showErrorMessage="false" showInputMessage="false" sqref="K5:K16" type="list">
      <formula1>Lists!$K$5:$K$7</formula1>
      <formula2>0</formula2>
    </dataValidation>
    <dataValidation allowBlank="true" errorStyle="stop" operator="between" showDropDown="false" showErrorMessage="false" showInputMessage="false" sqref="J5:J16" type="list">
      <formula1>Lists!$G$5:$G$6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A3C"/>
    <pageSetUpPr fitToPage="true"/>
  </sheetPr>
  <dimension ref="A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70"/>
  </cols>
  <sheetData>
    <row r="1" customFormat="false" ht="19.7" hidden="false" customHeight="false" outlineLevel="0" collapsed="false">
      <c r="A1" s="1" t="s">
        <v>5</v>
      </c>
    </row>
    <row r="2" customFormat="false" ht="15" hidden="false" customHeight="false" outlineLevel="0" collapsed="false">
      <c r="A2" s="2" t="s">
        <v>161</v>
      </c>
    </row>
    <row r="4" customFormat="false" ht="30" hidden="false" customHeight="true" outlineLevel="0" collapsed="false">
      <c r="A4" s="26" t="s">
        <v>104</v>
      </c>
      <c r="B4" s="26" t="s">
        <v>106</v>
      </c>
      <c r="C4" s="26" t="s">
        <v>49</v>
      </c>
      <c r="D4" s="26" t="s">
        <v>19</v>
      </c>
      <c r="E4" s="26" t="s">
        <v>43</v>
      </c>
      <c r="F4" s="26" t="s">
        <v>162</v>
      </c>
      <c r="G4" s="26" t="s">
        <v>163</v>
      </c>
      <c r="H4" s="26" t="s">
        <v>164</v>
      </c>
      <c r="I4" s="26" t="s">
        <v>165</v>
      </c>
    </row>
    <row r="5" customFormat="false" ht="23.85" hidden="false" customHeight="false" outlineLevel="0" collapsed="false">
      <c r="A5" s="36" t="s">
        <v>112</v>
      </c>
      <c r="B5" s="21" t="str">
        <f aca="false">IF(A5="","",IFERROR(INDEX(Sessions!$C$5:$C$16,MATCH(A5,Sessions!$A$5:$A$16,0))&amp;" "&amp;INDEX(Sessions!$D$5:$D$16,MATCH(A5,Sessions!$A$5:$A$16,0)),""))</f>
        <v>P1 Dr. Miriam Kessler</v>
      </c>
      <c r="C5" s="39" t="s">
        <v>166</v>
      </c>
      <c r="D5" s="23" t="str">
        <f aca="false">IF(C5="","",IFERROR(INDEX(Lists!$C$5:$C$9,MATCH(C5,Lists!$A$5:$A$9,0)),""))</f>
        <v>S1 → S2</v>
      </c>
      <c r="E5" s="36" t="s">
        <v>52</v>
      </c>
      <c r="F5" s="39" t="n">
        <v>45</v>
      </c>
      <c r="G5" s="39" t="n">
        <v>6</v>
      </c>
      <c r="H5" s="39" t="s">
        <v>167</v>
      </c>
      <c r="I5" s="36" t="s">
        <v>168</v>
      </c>
    </row>
    <row r="6" customFormat="false" ht="15" hidden="false" customHeight="false" outlineLevel="0" collapsed="false">
      <c r="A6" s="36" t="s">
        <v>112</v>
      </c>
      <c r="B6" s="21" t="str">
        <f aca="false">IF(A6="","",IFERROR(INDEX(Sessions!$C$5:$C$16,MATCH(A6,Sessions!$A$5:$A$16,0))&amp;" "&amp;INDEX(Sessions!$D$5:$D$16,MATCH(A6,Sessions!$A$5:$A$16,0)),""))</f>
        <v>P1 Dr. Miriam Kessler</v>
      </c>
      <c r="C6" s="39" t="s">
        <v>169</v>
      </c>
      <c r="D6" s="23" t="str">
        <f aca="false">IF(C6="","",IFERROR(INDEX(Lists!$C$5:$C$9,MATCH(C6,Lists!$A$5:$A$9,0)),""))</f>
        <v>S2 → S4</v>
      </c>
      <c r="E6" s="36" t="s">
        <v>52</v>
      </c>
      <c r="F6" s="39" t="n">
        <v>80</v>
      </c>
      <c r="G6" s="39" t="n">
        <v>6</v>
      </c>
      <c r="H6" s="39" t="s">
        <v>167</v>
      </c>
      <c r="I6" s="36" t="s">
        <v>170</v>
      </c>
    </row>
    <row r="7" customFormat="false" ht="23.85" hidden="false" customHeight="false" outlineLevel="0" collapsed="false">
      <c r="A7" s="36" t="s">
        <v>112</v>
      </c>
      <c r="B7" s="21" t="str">
        <f aca="false">IF(A7="","",IFERROR(INDEX(Sessions!$C$5:$C$16,MATCH(A7,Sessions!$A$5:$A$16,0))&amp;" "&amp;INDEX(Sessions!$D$5:$D$16,MATCH(A7,Sessions!$A$5:$A$16,0)),""))</f>
        <v>P1 Dr. Miriam Kessler</v>
      </c>
      <c r="C7" s="39" t="s">
        <v>171</v>
      </c>
      <c r="D7" s="23" t="str">
        <f aca="false">IF(C7="","",IFERROR(INDEX(Lists!$C$5:$C$9,MATCH(C7,Lists!$A$5:$A$9,0)),""))</f>
        <v>S3 → S5</v>
      </c>
      <c r="E7" s="36" t="s">
        <v>172</v>
      </c>
      <c r="F7" s="39" t="n">
        <v>150</v>
      </c>
      <c r="G7" s="39" t="n">
        <v>4</v>
      </c>
      <c r="H7" s="39" t="s">
        <v>119</v>
      </c>
      <c r="I7" s="36" t="s">
        <v>173</v>
      </c>
    </row>
    <row r="8" customFormat="false" ht="15" hidden="false" customHeight="false" outlineLevel="0" collapsed="false">
      <c r="A8" s="36" t="s">
        <v>112</v>
      </c>
      <c r="B8" s="21" t="str">
        <f aca="false">IF(A8="","",IFERROR(INDEX(Sessions!$C$5:$C$16,MATCH(A8,Sessions!$A$5:$A$16,0))&amp;" "&amp;INDEX(Sessions!$D$5:$D$16,MATCH(A8,Sessions!$A$5:$A$16,0)),""))</f>
        <v>P1 Dr. Miriam Kessler</v>
      </c>
      <c r="C8" s="39" t="s">
        <v>174</v>
      </c>
      <c r="D8" s="23" t="str">
        <f aca="false">IF(C8="","",IFERROR(INDEX(Lists!$C$5:$C$9,MATCH(C8,Lists!$A$5:$A$9,0)),""))</f>
        <v>S2</v>
      </c>
      <c r="E8" s="36" t="s">
        <v>52</v>
      </c>
      <c r="F8" s="39" t="n">
        <v>60</v>
      </c>
      <c r="G8" s="39" t="n">
        <v>5</v>
      </c>
      <c r="H8" s="39" t="s">
        <v>167</v>
      </c>
      <c r="I8" s="36" t="s">
        <v>175</v>
      </c>
    </row>
    <row r="9" customFormat="false" ht="15" hidden="false" customHeight="false" outlineLevel="0" collapsed="false">
      <c r="A9" s="36" t="s">
        <v>121</v>
      </c>
      <c r="B9" s="21" t="str">
        <f aca="false">IF(A9="","",IFERROR(INDEX(Sessions!$C$5:$C$16,MATCH(A9,Sessions!$A$5:$A$16,0))&amp;" "&amp;INDEX(Sessions!$D$5:$D$16,MATCH(A9,Sessions!$A$5:$A$16,0)),""))</f>
        <v>P3 Dr. Rainer Hollmann</v>
      </c>
      <c r="C9" s="39" t="s">
        <v>169</v>
      </c>
      <c r="D9" s="23" t="str">
        <f aca="false">IF(C9="","",IFERROR(INDEX(Lists!$C$5:$C$9,MATCH(C9,Lists!$A$5:$A$9,0)),""))</f>
        <v>S2 → S4</v>
      </c>
      <c r="E9" s="36" t="s">
        <v>52</v>
      </c>
      <c r="F9" s="39" t="n">
        <v>70</v>
      </c>
      <c r="G9" s="39" t="n">
        <v>6</v>
      </c>
      <c r="H9" s="39" t="s">
        <v>167</v>
      </c>
      <c r="I9" s="36" t="s">
        <v>176</v>
      </c>
    </row>
    <row r="10" customFormat="false" ht="15" hidden="false" customHeight="false" outlineLevel="0" collapsed="false">
      <c r="A10" s="36" t="s">
        <v>121</v>
      </c>
      <c r="B10" s="21" t="str">
        <f aca="false">IF(A10="","",IFERROR(INDEX(Sessions!$C$5:$C$16,MATCH(A10,Sessions!$A$5:$A$16,0))&amp;" "&amp;INDEX(Sessions!$D$5:$D$16,MATCH(A10,Sessions!$A$5:$A$16,0)),""))</f>
        <v>P3 Dr. Rainer Hollmann</v>
      </c>
      <c r="C10" s="39" t="s">
        <v>177</v>
      </c>
      <c r="D10" s="23" t="str">
        <f aca="false">IF(C10="","",IFERROR(INDEX(Lists!$C$5:$C$9,MATCH(C10,Lists!$A$5:$A$9,0)),""))</f>
        <v>S3</v>
      </c>
      <c r="E10" s="36" t="s">
        <v>52</v>
      </c>
      <c r="F10" s="39" t="n">
        <v>30</v>
      </c>
      <c r="G10" s="39" t="n">
        <v>6</v>
      </c>
      <c r="H10" s="39" t="s">
        <v>167</v>
      </c>
      <c r="I10" s="36" t="s">
        <v>178</v>
      </c>
    </row>
    <row r="11" customFormat="false" ht="15" hidden="false" customHeight="false" outlineLevel="0" collapsed="false">
      <c r="A11" s="36" t="s">
        <v>121</v>
      </c>
      <c r="B11" s="21" t="str">
        <f aca="false">IF(A11="","",IFERROR(INDEX(Sessions!$C$5:$C$16,MATCH(A11,Sessions!$A$5:$A$16,0))&amp;" "&amp;INDEX(Sessions!$D$5:$D$16,MATCH(A11,Sessions!$A$5:$A$16,0)),""))</f>
        <v>P3 Dr. Rainer Hollmann</v>
      </c>
      <c r="C11" s="39" t="s">
        <v>174</v>
      </c>
      <c r="D11" s="23" t="str">
        <f aca="false">IF(C11="","",IFERROR(INDEX(Lists!$C$5:$C$9,MATCH(C11,Lists!$A$5:$A$9,0)),""))</f>
        <v>S2</v>
      </c>
      <c r="E11" s="36" t="s">
        <v>52</v>
      </c>
      <c r="F11" s="39" t="n">
        <v>55</v>
      </c>
      <c r="G11" s="39" t="n">
        <v>5</v>
      </c>
      <c r="H11" s="39" t="s">
        <v>167</v>
      </c>
      <c r="I11" s="36" t="s">
        <v>179</v>
      </c>
    </row>
    <row r="12" customFormat="false" ht="15" hidden="false" customHeight="false" outlineLevel="0" collapsed="false">
      <c r="A12" s="36" t="s">
        <v>126</v>
      </c>
      <c r="B12" s="21" t="str">
        <f aca="false">IF(A12="","",IFERROR(INDEX(Sessions!$C$5:$C$16,MATCH(A12,Sessions!$A$5:$A$16,0))&amp;" "&amp;INDEX(Sessions!$D$5:$D$16,MATCH(A12,Sessions!$A$5:$A$16,0)),""))</f>
        <v>P4 Prof. Dr. Sabine Aigner</v>
      </c>
      <c r="C12" s="39" t="s">
        <v>177</v>
      </c>
      <c r="D12" s="23" t="str">
        <f aca="false">IF(C12="","",IFERROR(INDEX(Lists!$C$5:$C$9,MATCH(C12,Lists!$A$5:$A$9,0)),""))</f>
        <v>S3</v>
      </c>
      <c r="E12" s="36" t="s">
        <v>52</v>
      </c>
      <c r="F12" s="39" t="n">
        <v>25</v>
      </c>
      <c r="G12" s="39" t="n">
        <v>5</v>
      </c>
      <c r="H12" s="39" t="s">
        <v>167</v>
      </c>
      <c r="I12" s="36" t="s">
        <v>180</v>
      </c>
    </row>
    <row r="13" customFormat="false" ht="15" hidden="false" customHeight="false" outlineLevel="0" collapsed="false">
      <c r="A13" s="36" t="s">
        <v>126</v>
      </c>
      <c r="B13" s="21" t="str">
        <f aca="false">IF(A13="","",IFERROR(INDEX(Sessions!$C$5:$C$16,MATCH(A13,Sessions!$A$5:$A$16,0))&amp;" "&amp;INDEX(Sessions!$D$5:$D$16,MATCH(A13,Sessions!$A$5:$A$16,0)),""))</f>
        <v>P4 Prof. Dr. Sabine Aigner</v>
      </c>
      <c r="C13" s="39" t="s">
        <v>169</v>
      </c>
      <c r="D13" s="23" t="str">
        <f aca="false">IF(C13="","",IFERROR(INDEX(Lists!$C$5:$C$9,MATCH(C13,Lists!$A$5:$A$9,0)),""))</f>
        <v>S2 → S4</v>
      </c>
      <c r="E13" s="36" t="s">
        <v>172</v>
      </c>
      <c r="F13" s="39" t="n">
        <v>140</v>
      </c>
      <c r="G13" s="39" t="n">
        <v>3</v>
      </c>
      <c r="H13" s="39" t="s">
        <v>119</v>
      </c>
      <c r="I13" s="36" t="s">
        <v>181</v>
      </c>
    </row>
    <row r="14" customFormat="false" ht="15" hidden="false" customHeight="false" outlineLevel="0" collapsed="false">
      <c r="A14" s="36" t="s">
        <v>131</v>
      </c>
      <c r="B14" s="21" t="str">
        <f aca="false">IF(A14="","",IFERROR(INDEX(Sessions!$C$5:$C$16,MATCH(A14,Sessions!$A$5:$A$16,0))&amp;" "&amp;INDEX(Sessions!$D$5:$D$16,MATCH(A14,Sessions!$A$5:$A$16,0)),""))</f>
        <v>P6 Dr. Ana Ferreira</v>
      </c>
      <c r="C14" s="39" t="s">
        <v>166</v>
      </c>
      <c r="D14" s="23" t="str">
        <f aca="false">IF(C14="","",IFERROR(INDEX(Lists!$C$5:$C$9,MATCH(C14,Lists!$A$5:$A$9,0)),""))</f>
        <v>S1 → S2</v>
      </c>
      <c r="E14" s="36" t="s">
        <v>52</v>
      </c>
      <c r="F14" s="39" t="n">
        <v>50</v>
      </c>
      <c r="G14" s="39" t="n">
        <v>6</v>
      </c>
      <c r="H14" s="39" t="s">
        <v>167</v>
      </c>
      <c r="I14" s="36" t="s">
        <v>182</v>
      </c>
    </row>
    <row r="15" customFormat="false" ht="15" hidden="false" customHeight="false" outlineLevel="0" collapsed="false">
      <c r="A15" s="36" t="s">
        <v>131</v>
      </c>
      <c r="B15" s="21" t="str">
        <f aca="false">IF(A15="","",IFERROR(INDEX(Sessions!$C$5:$C$16,MATCH(A15,Sessions!$A$5:$A$16,0))&amp;" "&amp;INDEX(Sessions!$D$5:$D$16,MATCH(A15,Sessions!$A$5:$A$16,0)),""))</f>
        <v>P6 Dr. Ana Ferreira</v>
      </c>
      <c r="C15" s="39" t="s">
        <v>177</v>
      </c>
      <c r="D15" s="23" t="str">
        <f aca="false">IF(C15="","",IFERROR(INDEX(Lists!$C$5:$C$9,MATCH(C15,Lists!$A$5:$A$9,0)),""))</f>
        <v>S3</v>
      </c>
      <c r="E15" s="36" t="s">
        <v>52</v>
      </c>
      <c r="F15" s="39" t="n">
        <v>35</v>
      </c>
      <c r="G15" s="39" t="n">
        <v>6</v>
      </c>
      <c r="H15" s="39" t="s">
        <v>167</v>
      </c>
      <c r="I15" s="36" t="s">
        <v>183</v>
      </c>
    </row>
    <row r="16" customFormat="false" ht="15" hidden="false" customHeight="false" outlineLevel="0" collapsed="false">
      <c r="A16" s="36" t="s">
        <v>136</v>
      </c>
      <c r="B16" s="21" t="str">
        <f aca="false">IF(A16="","",IFERROR(INDEX(Sessions!$C$5:$C$16,MATCH(A16,Sessions!$A$5:$A$16,0))&amp;" "&amp;INDEX(Sessions!$D$5:$D$16,MATCH(A16,Sessions!$A$5:$A$16,0)),""))</f>
        <v>P2 Jonas Brändli</v>
      </c>
      <c r="C16" s="39" t="s">
        <v>166</v>
      </c>
      <c r="D16" s="23" t="str">
        <f aca="false">IF(C16="","",IFERROR(INDEX(Lists!$C$5:$C$9,MATCH(C16,Lists!$A$5:$A$9,0)),""))</f>
        <v>S1 → S2</v>
      </c>
      <c r="E16" s="36" t="s">
        <v>52</v>
      </c>
      <c r="F16" s="39" t="n">
        <v>40</v>
      </c>
      <c r="G16" s="39" t="n">
        <v>6</v>
      </c>
      <c r="H16" s="39" t="s">
        <v>167</v>
      </c>
      <c r="I16" s="36" t="s">
        <v>184</v>
      </c>
    </row>
    <row r="17" customFormat="false" ht="15" hidden="false" customHeight="false" outlineLevel="0" collapsed="false">
      <c r="A17" s="36" t="s">
        <v>136</v>
      </c>
      <c r="B17" s="21" t="str">
        <f aca="false">IF(A17="","",IFERROR(INDEX(Sessions!$C$5:$C$16,MATCH(A17,Sessions!$A$5:$A$16,0))&amp;" "&amp;INDEX(Sessions!$D$5:$D$16,MATCH(A17,Sessions!$A$5:$A$16,0)),""))</f>
        <v>P2 Jonas Brändli</v>
      </c>
      <c r="C17" s="39" t="s">
        <v>169</v>
      </c>
      <c r="D17" s="23" t="str">
        <f aca="false">IF(C17="","",IFERROR(INDEX(Lists!$C$5:$C$9,MATCH(C17,Lists!$A$5:$A$9,0)),""))</f>
        <v>S2 → S4</v>
      </c>
      <c r="E17" s="36" t="s">
        <v>52</v>
      </c>
      <c r="F17" s="39" t="n">
        <v>95</v>
      </c>
      <c r="G17" s="39" t="n">
        <v>5</v>
      </c>
      <c r="H17" s="39" t="s">
        <v>167</v>
      </c>
      <c r="I17" s="36" t="s">
        <v>185</v>
      </c>
    </row>
    <row r="18" customFormat="false" ht="15" hidden="false" customHeight="false" outlineLevel="0" collapsed="false">
      <c r="A18" s="36" t="s">
        <v>136</v>
      </c>
      <c r="B18" s="21" t="str">
        <f aca="false">IF(A18="","",IFERROR(INDEX(Sessions!$C$5:$C$16,MATCH(A18,Sessions!$A$5:$A$16,0))&amp;" "&amp;INDEX(Sessions!$D$5:$D$16,MATCH(A18,Sessions!$A$5:$A$16,0)),""))</f>
        <v>P2 Jonas Brändli</v>
      </c>
      <c r="C18" s="39" t="s">
        <v>171</v>
      </c>
      <c r="D18" s="23" t="str">
        <f aca="false">IF(C18="","",IFERROR(INDEX(Lists!$C$5:$C$9,MATCH(C18,Lists!$A$5:$A$9,0)),""))</f>
        <v>S3 → S5</v>
      </c>
      <c r="E18" s="36" t="s">
        <v>52</v>
      </c>
      <c r="F18" s="39" t="n">
        <v>70</v>
      </c>
      <c r="G18" s="39" t="n">
        <v>6</v>
      </c>
      <c r="H18" s="39" t="s">
        <v>167</v>
      </c>
      <c r="I18" s="36" t="s">
        <v>186</v>
      </c>
    </row>
    <row r="19" customFormat="false" ht="15" hidden="false" customHeight="false" outlineLevel="0" collapsed="false">
      <c r="A19" s="36" t="s">
        <v>141</v>
      </c>
      <c r="B19" s="21" t="str">
        <f aca="false">IF(A19="","",IFERROR(INDEX(Sessions!$C$5:$C$16,MATCH(A19,Sessions!$A$5:$A$16,0))&amp;" "&amp;INDEX(Sessions!$D$5:$D$16,MATCH(A19,Sessions!$A$5:$A$16,0)),""))</f>
        <v>P5 Ulrike Sandmann</v>
      </c>
      <c r="C19" s="39" t="s">
        <v>169</v>
      </c>
      <c r="D19" s="23" t="str">
        <f aca="false">IF(C19="","",IFERROR(INDEX(Lists!$C$5:$C$9,MATCH(C19,Lists!$A$5:$A$9,0)),""))</f>
        <v>S2 → S4</v>
      </c>
      <c r="E19" s="36" t="s">
        <v>52</v>
      </c>
      <c r="F19" s="39" t="n">
        <v>85</v>
      </c>
      <c r="G19" s="39" t="n">
        <v>5</v>
      </c>
      <c r="H19" s="39" t="s">
        <v>167</v>
      </c>
      <c r="I19" s="36" t="s">
        <v>187</v>
      </c>
    </row>
    <row r="20" customFormat="false" ht="15" hidden="false" customHeight="false" outlineLevel="0" collapsed="false">
      <c r="A20" s="36" t="s">
        <v>141</v>
      </c>
      <c r="B20" s="21" t="str">
        <f aca="false">IF(A20="","",IFERROR(INDEX(Sessions!$C$5:$C$16,MATCH(A20,Sessions!$A$5:$A$16,0))&amp;" "&amp;INDEX(Sessions!$D$5:$D$16,MATCH(A20,Sessions!$A$5:$A$16,0)),""))</f>
        <v>P5 Ulrike Sandmann</v>
      </c>
      <c r="C20" s="39" t="s">
        <v>177</v>
      </c>
      <c r="D20" s="23" t="str">
        <f aca="false">IF(C20="","",IFERROR(INDEX(Lists!$C$5:$C$9,MATCH(C20,Lists!$A$5:$A$9,0)),""))</f>
        <v>S3</v>
      </c>
      <c r="E20" s="36" t="s">
        <v>172</v>
      </c>
      <c r="F20" s="39" t="n">
        <v>60</v>
      </c>
      <c r="G20" s="39" t="n">
        <v>4</v>
      </c>
      <c r="H20" s="39" t="s">
        <v>119</v>
      </c>
      <c r="I20" s="36" t="s">
        <v>188</v>
      </c>
    </row>
    <row r="21" customFormat="false" ht="15" hidden="false" customHeight="false" outlineLevel="0" collapsed="false">
      <c r="A21" s="36"/>
      <c r="B21" s="21" t="str">
        <f aca="false">IF(A21="","",IFERROR(INDEX(Sessions!$C$5:$C$16,MATCH(A21,Sessions!$A$5:$A$16,0))&amp;" "&amp;INDEX(Sessions!$D$5:$D$16,MATCH(A21,Sessions!$A$5:$A$16,0)),""))</f>
        <v/>
      </c>
      <c r="C21" s="39"/>
      <c r="D21" s="23" t="str">
        <f aca="false">IF(C21="","",IFERROR(INDEX(Lists!$C$5:$C$9,MATCH(C21,Lists!$A$5:$A$9,0)),""))</f>
        <v/>
      </c>
      <c r="E21" s="36"/>
      <c r="F21" s="39"/>
      <c r="G21" s="39"/>
      <c r="H21" s="39"/>
      <c r="I21" s="36"/>
    </row>
    <row r="22" customFormat="false" ht="15" hidden="false" customHeight="false" outlineLevel="0" collapsed="false">
      <c r="A22" s="36"/>
      <c r="B22" s="21" t="str">
        <f aca="false">IF(A22="","",IFERROR(INDEX(Sessions!$C$5:$C$16,MATCH(A22,Sessions!$A$5:$A$16,0))&amp;" "&amp;INDEX(Sessions!$D$5:$D$16,MATCH(A22,Sessions!$A$5:$A$16,0)),""))</f>
        <v/>
      </c>
      <c r="C22" s="39"/>
      <c r="D22" s="23" t="str">
        <f aca="false">IF(C22="","",IFERROR(INDEX(Lists!$C$5:$C$9,MATCH(C22,Lists!$A$5:$A$9,0)),""))</f>
        <v/>
      </c>
      <c r="E22" s="36"/>
      <c r="F22" s="39"/>
      <c r="G22" s="39"/>
      <c r="H22" s="39"/>
      <c r="I22" s="36"/>
    </row>
    <row r="23" customFormat="false" ht="15" hidden="false" customHeight="false" outlineLevel="0" collapsed="false">
      <c r="A23" s="36"/>
      <c r="B23" s="21" t="str">
        <f aca="false">IF(A23="","",IFERROR(INDEX(Sessions!$C$5:$C$16,MATCH(A23,Sessions!$A$5:$A$16,0))&amp;" "&amp;INDEX(Sessions!$D$5:$D$16,MATCH(A23,Sessions!$A$5:$A$16,0)),""))</f>
        <v/>
      </c>
      <c r="C23" s="39"/>
      <c r="D23" s="23" t="str">
        <f aca="false">IF(C23="","",IFERROR(INDEX(Lists!$C$5:$C$9,MATCH(C23,Lists!$A$5:$A$9,0)),""))</f>
        <v/>
      </c>
      <c r="E23" s="36"/>
      <c r="F23" s="39"/>
      <c r="G23" s="39"/>
      <c r="H23" s="39"/>
      <c r="I23" s="36"/>
    </row>
    <row r="24" customFormat="false" ht="15" hidden="false" customHeight="false" outlineLevel="0" collapsed="false">
      <c r="A24" s="36"/>
      <c r="B24" s="21" t="str">
        <f aca="false">IF(A24="","",IFERROR(INDEX(Sessions!$C$5:$C$16,MATCH(A24,Sessions!$A$5:$A$16,0))&amp;" "&amp;INDEX(Sessions!$D$5:$D$16,MATCH(A24,Sessions!$A$5:$A$16,0)),""))</f>
        <v/>
      </c>
      <c r="C24" s="39"/>
      <c r="D24" s="23" t="str">
        <f aca="false">IF(C24="","",IFERROR(INDEX(Lists!$C$5:$C$9,MATCH(C24,Lists!$A$5:$A$9,0)),""))</f>
        <v/>
      </c>
      <c r="E24" s="36"/>
      <c r="F24" s="39"/>
      <c r="G24" s="39"/>
      <c r="H24" s="39"/>
      <c r="I24" s="36"/>
    </row>
    <row r="25" customFormat="false" ht="15" hidden="false" customHeight="false" outlineLevel="0" collapsed="false">
      <c r="A25" s="36"/>
      <c r="B25" s="21" t="str">
        <f aca="false">IF(A25="","",IFERROR(INDEX(Sessions!$C$5:$C$16,MATCH(A25,Sessions!$A$5:$A$16,0))&amp;" "&amp;INDEX(Sessions!$D$5:$D$16,MATCH(A25,Sessions!$A$5:$A$16,0)),""))</f>
        <v/>
      </c>
      <c r="C25" s="39"/>
      <c r="D25" s="23" t="str">
        <f aca="false">IF(C25="","",IFERROR(INDEX(Lists!$C$5:$C$9,MATCH(C25,Lists!$A$5:$A$9,0)),""))</f>
        <v/>
      </c>
      <c r="E25" s="36"/>
      <c r="F25" s="39"/>
      <c r="G25" s="39"/>
      <c r="H25" s="39"/>
      <c r="I25" s="36"/>
    </row>
    <row r="26" customFormat="false" ht="15" hidden="false" customHeight="false" outlineLevel="0" collapsed="false">
      <c r="A26" s="36"/>
      <c r="B26" s="21" t="str">
        <f aca="false">IF(A26="","",IFERROR(INDEX(Sessions!$C$5:$C$16,MATCH(A26,Sessions!$A$5:$A$16,0))&amp;" "&amp;INDEX(Sessions!$D$5:$D$16,MATCH(A26,Sessions!$A$5:$A$16,0)),""))</f>
        <v/>
      </c>
      <c r="C26" s="39"/>
      <c r="D26" s="23" t="str">
        <f aca="false">IF(C26="","",IFERROR(INDEX(Lists!$C$5:$C$9,MATCH(C26,Lists!$A$5:$A$9,0)),""))</f>
        <v/>
      </c>
      <c r="E26" s="36"/>
      <c r="F26" s="39"/>
      <c r="G26" s="39"/>
      <c r="H26" s="39"/>
      <c r="I26" s="36"/>
    </row>
    <row r="27" customFormat="false" ht="15" hidden="false" customHeight="false" outlineLevel="0" collapsed="false">
      <c r="A27" s="36"/>
      <c r="B27" s="21" t="str">
        <f aca="false">IF(A27="","",IFERROR(INDEX(Sessions!$C$5:$C$16,MATCH(A27,Sessions!$A$5:$A$16,0))&amp;" "&amp;INDEX(Sessions!$D$5:$D$16,MATCH(A27,Sessions!$A$5:$A$16,0)),""))</f>
        <v/>
      </c>
      <c r="C27" s="39"/>
      <c r="D27" s="23" t="str">
        <f aca="false">IF(C27="","",IFERROR(INDEX(Lists!$C$5:$C$9,MATCH(C27,Lists!$A$5:$A$9,0)),""))</f>
        <v/>
      </c>
      <c r="E27" s="36"/>
      <c r="F27" s="39"/>
      <c r="G27" s="39"/>
      <c r="H27" s="39"/>
      <c r="I27" s="36"/>
    </row>
    <row r="28" customFormat="false" ht="15" hidden="false" customHeight="false" outlineLevel="0" collapsed="false">
      <c r="A28" s="36"/>
      <c r="B28" s="21" t="str">
        <f aca="false">IF(A28="","",IFERROR(INDEX(Sessions!$C$5:$C$16,MATCH(A28,Sessions!$A$5:$A$16,0))&amp;" "&amp;INDEX(Sessions!$D$5:$D$16,MATCH(A28,Sessions!$A$5:$A$16,0)),""))</f>
        <v/>
      </c>
      <c r="C28" s="39"/>
      <c r="D28" s="23" t="str">
        <f aca="false">IF(C28="","",IFERROR(INDEX(Lists!$C$5:$C$9,MATCH(C28,Lists!$A$5:$A$9,0)),""))</f>
        <v/>
      </c>
      <c r="E28" s="36"/>
      <c r="F28" s="39"/>
      <c r="G28" s="39"/>
      <c r="H28" s="39"/>
      <c r="I28" s="36"/>
    </row>
    <row r="29" customFormat="false" ht="15" hidden="false" customHeight="false" outlineLevel="0" collapsed="false">
      <c r="A29" s="36"/>
      <c r="B29" s="21" t="str">
        <f aca="false">IF(A29="","",IFERROR(INDEX(Sessions!$C$5:$C$16,MATCH(A29,Sessions!$A$5:$A$16,0))&amp;" "&amp;INDEX(Sessions!$D$5:$D$16,MATCH(A29,Sessions!$A$5:$A$16,0)),""))</f>
        <v/>
      </c>
      <c r="C29" s="39"/>
      <c r="D29" s="23" t="str">
        <f aca="false">IF(C29="","",IFERROR(INDEX(Lists!$C$5:$C$9,MATCH(C29,Lists!$A$5:$A$9,0)),""))</f>
        <v/>
      </c>
      <c r="E29" s="36"/>
      <c r="F29" s="39"/>
      <c r="G29" s="39"/>
      <c r="H29" s="39"/>
      <c r="I29" s="36"/>
    </row>
    <row r="30" customFormat="false" ht="15" hidden="false" customHeight="false" outlineLevel="0" collapsed="false">
      <c r="A30" s="36"/>
      <c r="B30" s="21" t="str">
        <f aca="false">IF(A30="","",IFERROR(INDEX(Sessions!$C$5:$C$16,MATCH(A30,Sessions!$A$5:$A$16,0))&amp;" "&amp;INDEX(Sessions!$D$5:$D$16,MATCH(A30,Sessions!$A$5:$A$16,0)),""))</f>
        <v/>
      </c>
      <c r="C30" s="39"/>
      <c r="D30" s="23" t="str">
        <f aca="false">IF(C30="","",IFERROR(INDEX(Lists!$C$5:$C$9,MATCH(C30,Lists!$A$5:$A$9,0)),""))</f>
        <v/>
      </c>
      <c r="E30" s="36"/>
      <c r="F30" s="39"/>
      <c r="G30" s="39"/>
      <c r="H30" s="39"/>
      <c r="I30" s="36"/>
    </row>
    <row r="31" customFormat="false" ht="15" hidden="false" customHeight="false" outlineLevel="0" collapsed="false">
      <c r="A31" s="36"/>
      <c r="B31" s="21" t="str">
        <f aca="false">IF(A31="","",IFERROR(INDEX(Sessions!$C$5:$C$16,MATCH(A31,Sessions!$A$5:$A$16,0))&amp;" "&amp;INDEX(Sessions!$D$5:$D$16,MATCH(A31,Sessions!$A$5:$A$16,0)),""))</f>
        <v/>
      </c>
      <c r="C31" s="39"/>
      <c r="D31" s="23" t="str">
        <f aca="false">IF(C31="","",IFERROR(INDEX(Lists!$C$5:$C$9,MATCH(C31,Lists!$A$5:$A$9,0)),""))</f>
        <v/>
      </c>
      <c r="E31" s="36"/>
      <c r="F31" s="39"/>
      <c r="G31" s="39"/>
      <c r="H31" s="39"/>
      <c r="I31" s="36"/>
    </row>
    <row r="32" customFormat="false" ht="15" hidden="false" customHeight="false" outlineLevel="0" collapsed="false">
      <c r="A32" s="36"/>
      <c r="B32" s="21" t="str">
        <f aca="false">IF(A32="","",IFERROR(INDEX(Sessions!$C$5:$C$16,MATCH(A32,Sessions!$A$5:$A$16,0))&amp;" "&amp;INDEX(Sessions!$D$5:$D$16,MATCH(A32,Sessions!$A$5:$A$16,0)),""))</f>
        <v/>
      </c>
      <c r="C32" s="39"/>
      <c r="D32" s="23" t="str">
        <f aca="false">IF(C32="","",IFERROR(INDEX(Lists!$C$5:$C$9,MATCH(C32,Lists!$A$5:$A$9,0)),""))</f>
        <v/>
      </c>
      <c r="E32" s="36"/>
      <c r="F32" s="39"/>
      <c r="G32" s="39"/>
      <c r="H32" s="39"/>
      <c r="I32" s="36"/>
    </row>
    <row r="33" customFormat="false" ht="15" hidden="false" customHeight="false" outlineLevel="0" collapsed="false">
      <c r="A33" s="36"/>
      <c r="B33" s="21" t="str">
        <f aca="false">IF(A33="","",IFERROR(INDEX(Sessions!$C$5:$C$16,MATCH(A33,Sessions!$A$5:$A$16,0))&amp;" "&amp;INDEX(Sessions!$D$5:$D$16,MATCH(A33,Sessions!$A$5:$A$16,0)),""))</f>
        <v/>
      </c>
      <c r="C33" s="39"/>
      <c r="D33" s="23" t="str">
        <f aca="false">IF(C33="","",IFERROR(INDEX(Lists!$C$5:$C$9,MATCH(C33,Lists!$A$5:$A$9,0)),""))</f>
        <v/>
      </c>
      <c r="E33" s="36"/>
      <c r="F33" s="39"/>
      <c r="G33" s="39"/>
      <c r="H33" s="39"/>
      <c r="I33" s="36"/>
    </row>
    <row r="34" customFormat="false" ht="15" hidden="false" customHeight="false" outlineLevel="0" collapsed="false">
      <c r="A34" s="36"/>
      <c r="B34" s="21" t="str">
        <f aca="false">IF(A34="","",IFERROR(INDEX(Sessions!$C$5:$C$16,MATCH(A34,Sessions!$A$5:$A$16,0))&amp;" "&amp;INDEX(Sessions!$D$5:$D$16,MATCH(A34,Sessions!$A$5:$A$16,0)),""))</f>
        <v/>
      </c>
      <c r="C34" s="39"/>
      <c r="D34" s="23" t="str">
        <f aca="false">IF(C34="","",IFERROR(INDEX(Lists!$C$5:$C$9,MATCH(C34,Lists!$A$5:$A$9,0)),""))</f>
        <v/>
      </c>
      <c r="E34" s="36"/>
      <c r="F34" s="39"/>
      <c r="G34" s="39"/>
      <c r="H34" s="39"/>
      <c r="I34" s="36"/>
    </row>
    <row r="35" customFormat="false" ht="15" hidden="false" customHeight="false" outlineLevel="0" collapsed="false">
      <c r="A35" s="36"/>
      <c r="B35" s="21" t="str">
        <f aca="false">IF(A35="","",IFERROR(INDEX(Sessions!$C$5:$C$16,MATCH(A35,Sessions!$A$5:$A$16,0))&amp;" "&amp;INDEX(Sessions!$D$5:$D$16,MATCH(A35,Sessions!$A$5:$A$16,0)),""))</f>
        <v/>
      </c>
      <c r="C35" s="39"/>
      <c r="D35" s="23" t="str">
        <f aca="false">IF(C35="","",IFERROR(INDEX(Lists!$C$5:$C$9,MATCH(C35,Lists!$A$5:$A$9,0)),""))</f>
        <v/>
      </c>
      <c r="E35" s="36"/>
      <c r="F35" s="39"/>
      <c r="G35" s="39"/>
      <c r="H35" s="39"/>
      <c r="I35" s="36"/>
    </row>
    <row r="36" customFormat="false" ht="15" hidden="false" customHeight="false" outlineLevel="0" collapsed="false">
      <c r="A36" s="36"/>
      <c r="B36" s="21" t="str">
        <f aca="false">IF(A36="","",IFERROR(INDEX(Sessions!$C$5:$C$16,MATCH(A36,Sessions!$A$5:$A$16,0))&amp;" "&amp;INDEX(Sessions!$D$5:$D$16,MATCH(A36,Sessions!$A$5:$A$16,0)),""))</f>
        <v/>
      </c>
      <c r="C36" s="39"/>
      <c r="D36" s="23" t="str">
        <f aca="false">IF(C36="","",IFERROR(INDEX(Lists!$C$5:$C$9,MATCH(C36,Lists!$A$5:$A$9,0)),""))</f>
        <v/>
      </c>
      <c r="E36" s="36"/>
      <c r="F36" s="39"/>
      <c r="G36" s="39"/>
      <c r="H36" s="39"/>
      <c r="I36" s="36"/>
    </row>
    <row r="37" customFormat="false" ht="15" hidden="false" customHeight="false" outlineLevel="0" collapsed="false">
      <c r="A37" s="36"/>
      <c r="B37" s="21" t="str">
        <f aca="false">IF(A37="","",IFERROR(INDEX(Sessions!$C$5:$C$16,MATCH(A37,Sessions!$A$5:$A$16,0))&amp;" "&amp;INDEX(Sessions!$D$5:$D$16,MATCH(A37,Sessions!$A$5:$A$16,0)),""))</f>
        <v/>
      </c>
      <c r="C37" s="39"/>
      <c r="D37" s="23" t="str">
        <f aca="false">IF(C37="","",IFERROR(INDEX(Lists!$C$5:$C$9,MATCH(C37,Lists!$A$5:$A$9,0)),""))</f>
        <v/>
      </c>
      <c r="E37" s="36"/>
      <c r="F37" s="39"/>
      <c r="G37" s="39"/>
      <c r="H37" s="39"/>
      <c r="I37" s="36"/>
    </row>
    <row r="38" customFormat="false" ht="15" hidden="false" customHeight="false" outlineLevel="0" collapsed="false">
      <c r="A38" s="36"/>
      <c r="B38" s="21" t="str">
        <f aca="false">IF(A38="","",IFERROR(INDEX(Sessions!$C$5:$C$16,MATCH(A38,Sessions!$A$5:$A$16,0))&amp;" "&amp;INDEX(Sessions!$D$5:$D$16,MATCH(A38,Sessions!$A$5:$A$16,0)),""))</f>
        <v/>
      </c>
      <c r="C38" s="39"/>
      <c r="D38" s="23" t="str">
        <f aca="false">IF(C38="","",IFERROR(INDEX(Lists!$C$5:$C$9,MATCH(C38,Lists!$A$5:$A$9,0)),""))</f>
        <v/>
      </c>
      <c r="E38" s="36"/>
      <c r="F38" s="39"/>
      <c r="G38" s="39"/>
      <c r="H38" s="39"/>
      <c r="I38" s="36"/>
    </row>
    <row r="39" customFormat="false" ht="15" hidden="false" customHeight="false" outlineLevel="0" collapsed="false">
      <c r="A39" s="36"/>
      <c r="B39" s="21" t="str">
        <f aca="false">IF(A39="","",IFERROR(INDEX(Sessions!$C$5:$C$16,MATCH(A39,Sessions!$A$5:$A$16,0))&amp;" "&amp;INDEX(Sessions!$D$5:$D$16,MATCH(A39,Sessions!$A$5:$A$16,0)),""))</f>
        <v/>
      </c>
      <c r="C39" s="39"/>
      <c r="D39" s="23" t="str">
        <f aca="false">IF(C39="","",IFERROR(INDEX(Lists!$C$5:$C$9,MATCH(C39,Lists!$A$5:$A$9,0)),""))</f>
        <v/>
      </c>
      <c r="E39" s="36"/>
      <c r="F39" s="39"/>
      <c r="G39" s="39"/>
      <c r="H39" s="39"/>
      <c r="I39" s="36"/>
    </row>
    <row r="40" customFormat="false" ht="15" hidden="false" customHeight="false" outlineLevel="0" collapsed="false">
      <c r="A40" s="36"/>
      <c r="B40" s="21" t="str">
        <f aca="false">IF(A40="","",IFERROR(INDEX(Sessions!$C$5:$C$16,MATCH(A40,Sessions!$A$5:$A$16,0))&amp;" "&amp;INDEX(Sessions!$D$5:$D$16,MATCH(A40,Sessions!$A$5:$A$16,0)),""))</f>
        <v/>
      </c>
      <c r="C40" s="39"/>
      <c r="D40" s="23" t="str">
        <f aca="false">IF(C40="","",IFERROR(INDEX(Lists!$C$5:$C$9,MATCH(C40,Lists!$A$5:$A$9,0)),""))</f>
        <v/>
      </c>
      <c r="E40" s="36"/>
      <c r="F40" s="39"/>
      <c r="G40" s="39"/>
      <c r="H40" s="39"/>
      <c r="I40" s="36"/>
    </row>
    <row r="41" customFormat="false" ht="15" hidden="false" customHeight="false" outlineLevel="0" collapsed="false">
      <c r="A41" s="36"/>
      <c r="B41" s="21" t="str">
        <f aca="false">IF(A41="","",IFERROR(INDEX(Sessions!$C$5:$C$16,MATCH(A41,Sessions!$A$5:$A$16,0))&amp;" "&amp;INDEX(Sessions!$D$5:$D$16,MATCH(A41,Sessions!$A$5:$A$16,0)),""))</f>
        <v/>
      </c>
      <c r="C41" s="39"/>
      <c r="D41" s="23" t="str">
        <f aca="false">IF(C41="","",IFERROR(INDEX(Lists!$C$5:$C$9,MATCH(C41,Lists!$A$5:$A$9,0)),""))</f>
        <v/>
      </c>
      <c r="E41" s="36"/>
      <c r="F41" s="39"/>
      <c r="G41" s="39"/>
      <c r="H41" s="39"/>
      <c r="I41" s="36"/>
    </row>
    <row r="42" customFormat="false" ht="15" hidden="false" customHeight="false" outlineLevel="0" collapsed="false">
      <c r="A42" s="36"/>
      <c r="B42" s="21" t="str">
        <f aca="false">IF(A42="","",IFERROR(INDEX(Sessions!$C$5:$C$16,MATCH(A42,Sessions!$A$5:$A$16,0))&amp;" "&amp;INDEX(Sessions!$D$5:$D$16,MATCH(A42,Sessions!$A$5:$A$16,0)),""))</f>
        <v/>
      </c>
      <c r="C42" s="39"/>
      <c r="D42" s="23" t="str">
        <f aca="false">IF(C42="","",IFERROR(INDEX(Lists!$C$5:$C$9,MATCH(C42,Lists!$A$5:$A$9,0)),""))</f>
        <v/>
      </c>
      <c r="E42" s="36"/>
      <c r="F42" s="39"/>
      <c r="G42" s="39"/>
      <c r="H42" s="39"/>
      <c r="I42" s="36"/>
    </row>
    <row r="43" customFormat="false" ht="15" hidden="false" customHeight="false" outlineLevel="0" collapsed="false">
      <c r="A43" s="36"/>
      <c r="B43" s="21" t="str">
        <f aca="false">IF(A43="","",IFERROR(INDEX(Sessions!$C$5:$C$16,MATCH(A43,Sessions!$A$5:$A$16,0))&amp;" "&amp;INDEX(Sessions!$D$5:$D$16,MATCH(A43,Sessions!$A$5:$A$16,0)),""))</f>
        <v/>
      </c>
      <c r="C43" s="39"/>
      <c r="D43" s="23" t="str">
        <f aca="false">IF(C43="","",IFERROR(INDEX(Lists!$C$5:$C$9,MATCH(C43,Lists!$A$5:$A$9,0)),""))</f>
        <v/>
      </c>
      <c r="E43" s="36"/>
      <c r="F43" s="39"/>
      <c r="G43" s="39"/>
      <c r="H43" s="39"/>
      <c r="I43" s="36"/>
    </row>
    <row r="44" customFormat="false" ht="15" hidden="false" customHeight="false" outlineLevel="0" collapsed="false">
      <c r="A44" s="36"/>
      <c r="B44" s="21" t="str">
        <f aca="false">IF(A44="","",IFERROR(INDEX(Sessions!$C$5:$C$16,MATCH(A44,Sessions!$A$5:$A$16,0))&amp;" "&amp;INDEX(Sessions!$D$5:$D$16,MATCH(A44,Sessions!$A$5:$A$16,0)),""))</f>
        <v/>
      </c>
      <c r="C44" s="39"/>
      <c r="D44" s="23" t="str">
        <f aca="false">IF(C44="","",IFERROR(INDEX(Lists!$C$5:$C$9,MATCH(C44,Lists!$A$5:$A$9,0)),""))</f>
        <v/>
      </c>
      <c r="E44" s="36"/>
      <c r="F44" s="39"/>
      <c r="G44" s="39"/>
      <c r="H44" s="39"/>
      <c r="I44" s="36"/>
    </row>
    <row r="45" customFormat="false" ht="15" hidden="false" customHeight="false" outlineLevel="0" collapsed="false">
      <c r="A45" s="36"/>
      <c r="B45" s="21" t="str">
        <f aca="false">IF(A45="","",IFERROR(INDEX(Sessions!$C$5:$C$16,MATCH(A45,Sessions!$A$5:$A$16,0))&amp;" "&amp;INDEX(Sessions!$D$5:$D$16,MATCH(A45,Sessions!$A$5:$A$16,0)),""))</f>
        <v/>
      </c>
      <c r="C45" s="39"/>
      <c r="D45" s="23" t="str">
        <f aca="false">IF(C45="","",IFERROR(INDEX(Lists!$C$5:$C$9,MATCH(C45,Lists!$A$5:$A$9,0)),""))</f>
        <v/>
      </c>
      <c r="E45" s="36"/>
      <c r="F45" s="39"/>
      <c r="G45" s="39"/>
      <c r="H45" s="39"/>
      <c r="I45" s="36"/>
    </row>
    <row r="46" customFormat="false" ht="15" hidden="false" customHeight="false" outlineLevel="0" collapsed="false">
      <c r="A46" s="36"/>
      <c r="B46" s="21" t="str">
        <f aca="false">IF(A46="","",IFERROR(INDEX(Sessions!$C$5:$C$16,MATCH(A46,Sessions!$A$5:$A$16,0))&amp;" "&amp;INDEX(Sessions!$D$5:$D$16,MATCH(A46,Sessions!$A$5:$A$16,0)),""))</f>
        <v/>
      </c>
      <c r="C46" s="39"/>
      <c r="D46" s="23" t="str">
        <f aca="false">IF(C46="","",IFERROR(INDEX(Lists!$C$5:$C$9,MATCH(C46,Lists!$A$5:$A$9,0)),""))</f>
        <v/>
      </c>
      <c r="E46" s="36"/>
      <c r="F46" s="39"/>
      <c r="G46" s="39"/>
      <c r="H46" s="39"/>
      <c r="I46" s="36"/>
    </row>
    <row r="47" customFormat="false" ht="15" hidden="false" customHeight="false" outlineLevel="0" collapsed="false">
      <c r="A47" s="36"/>
      <c r="B47" s="21" t="str">
        <f aca="false">IF(A47="","",IFERROR(INDEX(Sessions!$C$5:$C$16,MATCH(A47,Sessions!$A$5:$A$16,0))&amp;" "&amp;INDEX(Sessions!$D$5:$D$16,MATCH(A47,Sessions!$A$5:$A$16,0)),""))</f>
        <v/>
      </c>
      <c r="C47" s="39"/>
      <c r="D47" s="23" t="str">
        <f aca="false">IF(C47="","",IFERROR(INDEX(Lists!$C$5:$C$9,MATCH(C47,Lists!$A$5:$A$9,0)),""))</f>
        <v/>
      </c>
      <c r="E47" s="36"/>
      <c r="F47" s="39"/>
      <c r="G47" s="39"/>
      <c r="H47" s="39"/>
      <c r="I47" s="36"/>
    </row>
    <row r="48" customFormat="false" ht="15" hidden="false" customHeight="false" outlineLevel="0" collapsed="false">
      <c r="A48" s="36"/>
      <c r="B48" s="21" t="str">
        <f aca="false">IF(A48="","",IFERROR(INDEX(Sessions!$C$5:$C$16,MATCH(A48,Sessions!$A$5:$A$16,0))&amp;" "&amp;INDEX(Sessions!$D$5:$D$16,MATCH(A48,Sessions!$A$5:$A$16,0)),""))</f>
        <v/>
      </c>
      <c r="C48" s="39"/>
      <c r="D48" s="23" t="str">
        <f aca="false">IF(C48="","",IFERROR(INDEX(Lists!$C$5:$C$9,MATCH(C48,Lists!$A$5:$A$9,0)),""))</f>
        <v/>
      </c>
      <c r="E48" s="36"/>
      <c r="F48" s="39"/>
      <c r="G48" s="39"/>
      <c r="H48" s="39"/>
      <c r="I48" s="36"/>
    </row>
    <row r="49" customFormat="false" ht="15" hidden="false" customHeight="false" outlineLevel="0" collapsed="false">
      <c r="A49" s="36"/>
      <c r="B49" s="21" t="str">
        <f aca="false">IF(A49="","",IFERROR(INDEX(Sessions!$C$5:$C$16,MATCH(A49,Sessions!$A$5:$A$16,0))&amp;" "&amp;INDEX(Sessions!$D$5:$D$16,MATCH(A49,Sessions!$A$5:$A$16,0)),""))</f>
        <v/>
      </c>
      <c r="C49" s="39"/>
      <c r="D49" s="23" t="str">
        <f aca="false">IF(C49="","",IFERROR(INDEX(Lists!$C$5:$C$9,MATCH(C49,Lists!$A$5:$A$9,0)),""))</f>
        <v/>
      </c>
      <c r="E49" s="36"/>
      <c r="F49" s="39"/>
      <c r="G49" s="39"/>
      <c r="H49" s="39"/>
      <c r="I49" s="36"/>
    </row>
    <row r="50" customFormat="false" ht="15" hidden="false" customHeight="false" outlineLevel="0" collapsed="false">
      <c r="A50" s="36"/>
      <c r="B50" s="21" t="str">
        <f aca="false">IF(A50="","",IFERROR(INDEX(Sessions!$C$5:$C$16,MATCH(A50,Sessions!$A$5:$A$16,0))&amp;" "&amp;INDEX(Sessions!$D$5:$D$16,MATCH(A50,Sessions!$A$5:$A$16,0)),""))</f>
        <v/>
      </c>
      <c r="C50" s="39"/>
      <c r="D50" s="23" t="str">
        <f aca="false">IF(C50="","",IFERROR(INDEX(Lists!$C$5:$C$9,MATCH(C50,Lists!$A$5:$A$9,0)),""))</f>
        <v/>
      </c>
      <c r="E50" s="36"/>
      <c r="F50" s="39"/>
      <c r="G50" s="39"/>
      <c r="H50" s="39"/>
      <c r="I50" s="36"/>
    </row>
    <row r="51" customFormat="false" ht="15" hidden="false" customHeight="false" outlineLevel="0" collapsed="false">
      <c r="A51" s="36"/>
      <c r="B51" s="21" t="str">
        <f aca="false">IF(A51="","",IFERROR(INDEX(Sessions!$C$5:$C$16,MATCH(A51,Sessions!$A$5:$A$16,0))&amp;" "&amp;INDEX(Sessions!$D$5:$D$16,MATCH(A51,Sessions!$A$5:$A$16,0)),""))</f>
        <v/>
      </c>
      <c r="C51" s="39"/>
      <c r="D51" s="23" t="str">
        <f aca="false">IF(C51="","",IFERROR(INDEX(Lists!$C$5:$C$9,MATCH(C51,Lists!$A$5:$A$9,0)),""))</f>
        <v/>
      </c>
      <c r="E51" s="36"/>
      <c r="F51" s="39"/>
      <c r="G51" s="39"/>
      <c r="H51" s="39"/>
      <c r="I51" s="36"/>
    </row>
    <row r="52" customFormat="false" ht="15" hidden="false" customHeight="false" outlineLevel="0" collapsed="false">
      <c r="A52" s="36"/>
      <c r="B52" s="21" t="str">
        <f aca="false">IF(A52="","",IFERROR(INDEX(Sessions!$C$5:$C$16,MATCH(A52,Sessions!$A$5:$A$16,0))&amp;" "&amp;INDEX(Sessions!$D$5:$D$16,MATCH(A52,Sessions!$A$5:$A$16,0)),""))</f>
        <v/>
      </c>
      <c r="C52" s="39"/>
      <c r="D52" s="23" t="str">
        <f aca="false">IF(C52="","",IFERROR(INDEX(Lists!$C$5:$C$9,MATCH(C52,Lists!$A$5:$A$9,0)),""))</f>
        <v/>
      </c>
      <c r="E52" s="36"/>
      <c r="F52" s="39"/>
      <c r="G52" s="39"/>
      <c r="H52" s="39"/>
      <c r="I52" s="36"/>
    </row>
    <row r="53" customFormat="false" ht="15" hidden="false" customHeight="false" outlineLevel="0" collapsed="false">
      <c r="A53" s="36"/>
      <c r="B53" s="21" t="str">
        <f aca="false">IF(A53="","",IFERROR(INDEX(Sessions!$C$5:$C$16,MATCH(A53,Sessions!$A$5:$A$16,0))&amp;" "&amp;INDEX(Sessions!$D$5:$D$16,MATCH(A53,Sessions!$A$5:$A$16,0)),""))</f>
        <v/>
      </c>
      <c r="C53" s="39"/>
      <c r="D53" s="23" t="str">
        <f aca="false">IF(C53="","",IFERROR(INDEX(Lists!$C$5:$C$9,MATCH(C53,Lists!$A$5:$A$9,0)),""))</f>
        <v/>
      </c>
      <c r="E53" s="36"/>
      <c r="F53" s="39"/>
      <c r="G53" s="39"/>
      <c r="H53" s="39"/>
      <c r="I53" s="36"/>
    </row>
    <row r="54" customFormat="false" ht="15" hidden="false" customHeight="false" outlineLevel="0" collapsed="false">
      <c r="A54" s="36"/>
      <c r="B54" s="21" t="str">
        <f aca="false">IF(A54="","",IFERROR(INDEX(Sessions!$C$5:$C$16,MATCH(A54,Sessions!$A$5:$A$16,0))&amp;" "&amp;INDEX(Sessions!$D$5:$D$16,MATCH(A54,Sessions!$A$5:$A$16,0)),""))</f>
        <v/>
      </c>
      <c r="C54" s="39"/>
      <c r="D54" s="23" t="str">
        <f aca="false">IF(C54="","",IFERROR(INDEX(Lists!$C$5:$C$9,MATCH(C54,Lists!$A$5:$A$9,0)),""))</f>
        <v/>
      </c>
      <c r="E54" s="36"/>
      <c r="F54" s="39"/>
      <c r="G54" s="39"/>
      <c r="H54" s="39"/>
      <c r="I54" s="36"/>
    </row>
    <row r="55" customFormat="false" ht="15" hidden="false" customHeight="false" outlineLevel="0" collapsed="false">
      <c r="A55" s="36"/>
      <c r="B55" s="21" t="str">
        <f aca="false">IF(A55="","",IFERROR(INDEX(Sessions!$C$5:$C$16,MATCH(A55,Sessions!$A$5:$A$16,0))&amp;" "&amp;INDEX(Sessions!$D$5:$D$16,MATCH(A55,Sessions!$A$5:$A$16,0)),""))</f>
        <v/>
      </c>
      <c r="C55" s="39"/>
      <c r="D55" s="23" t="str">
        <f aca="false">IF(C55="","",IFERROR(INDEX(Lists!$C$5:$C$9,MATCH(C55,Lists!$A$5:$A$9,0)),""))</f>
        <v/>
      </c>
      <c r="E55" s="36"/>
      <c r="F55" s="39"/>
      <c r="G55" s="39"/>
      <c r="H55" s="39"/>
      <c r="I55" s="36"/>
    </row>
    <row r="56" customFormat="false" ht="15" hidden="false" customHeight="false" outlineLevel="0" collapsed="false">
      <c r="A56" s="36"/>
      <c r="B56" s="21" t="str">
        <f aca="false">IF(A56="","",IFERROR(INDEX(Sessions!$C$5:$C$16,MATCH(A56,Sessions!$A$5:$A$16,0))&amp;" "&amp;INDEX(Sessions!$D$5:$D$16,MATCH(A56,Sessions!$A$5:$A$16,0)),""))</f>
        <v/>
      </c>
      <c r="C56" s="39"/>
      <c r="D56" s="23" t="str">
        <f aca="false">IF(C56="","",IFERROR(INDEX(Lists!$C$5:$C$9,MATCH(C56,Lists!$A$5:$A$9,0)),""))</f>
        <v/>
      </c>
      <c r="E56" s="36"/>
      <c r="F56" s="39"/>
      <c r="G56" s="39"/>
      <c r="H56" s="39"/>
      <c r="I56" s="36"/>
    </row>
    <row r="57" customFormat="false" ht="15" hidden="false" customHeight="false" outlineLevel="0" collapsed="false">
      <c r="A57" s="36"/>
      <c r="B57" s="21" t="str">
        <f aca="false">IF(A57="","",IFERROR(INDEX(Sessions!$C$5:$C$16,MATCH(A57,Sessions!$A$5:$A$16,0))&amp;" "&amp;INDEX(Sessions!$D$5:$D$16,MATCH(A57,Sessions!$A$5:$A$16,0)),""))</f>
        <v/>
      </c>
      <c r="C57" s="39"/>
      <c r="D57" s="23" t="str">
        <f aca="false">IF(C57="","",IFERROR(INDEX(Lists!$C$5:$C$9,MATCH(C57,Lists!$A$5:$A$9,0)),""))</f>
        <v/>
      </c>
      <c r="E57" s="36"/>
      <c r="F57" s="39"/>
      <c r="G57" s="39"/>
      <c r="H57" s="39"/>
      <c r="I57" s="36"/>
    </row>
    <row r="58" customFormat="false" ht="15" hidden="false" customHeight="false" outlineLevel="0" collapsed="false">
      <c r="A58" s="36"/>
      <c r="B58" s="21" t="str">
        <f aca="false">IF(A58="","",IFERROR(INDEX(Sessions!$C$5:$C$16,MATCH(A58,Sessions!$A$5:$A$16,0))&amp;" "&amp;INDEX(Sessions!$D$5:$D$16,MATCH(A58,Sessions!$A$5:$A$16,0)),""))</f>
        <v/>
      </c>
      <c r="C58" s="39"/>
      <c r="D58" s="23" t="str">
        <f aca="false">IF(C58="","",IFERROR(INDEX(Lists!$C$5:$C$9,MATCH(C58,Lists!$A$5:$A$9,0)),""))</f>
        <v/>
      </c>
      <c r="E58" s="36"/>
      <c r="F58" s="39"/>
      <c r="G58" s="39"/>
      <c r="H58" s="39"/>
      <c r="I58" s="36"/>
    </row>
    <row r="59" customFormat="false" ht="15" hidden="false" customHeight="false" outlineLevel="0" collapsed="false">
      <c r="A59" s="36"/>
      <c r="B59" s="21" t="str">
        <f aca="false">IF(A59="","",IFERROR(INDEX(Sessions!$C$5:$C$16,MATCH(A59,Sessions!$A$5:$A$16,0))&amp;" "&amp;INDEX(Sessions!$D$5:$D$16,MATCH(A59,Sessions!$A$5:$A$16,0)),""))</f>
        <v/>
      </c>
      <c r="C59" s="39"/>
      <c r="D59" s="23" t="str">
        <f aca="false">IF(C59="","",IFERROR(INDEX(Lists!$C$5:$C$9,MATCH(C59,Lists!$A$5:$A$9,0)),""))</f>
        <v/>
      </c>
      <c r="E59" s="36"/>
      <c r="F59" s="39"/>
      <c r="G59" s="39"/>
      <c r="H59" s="39"/>
      <c r="I59" s="36"/>
    </row>
    <row r="60" customFormat="false" ht="15" hidden="false" customHeight="false" outlineLevel="0" collapsed="false">
      <c r="A60" s="36"/>
      <c r="B60" s="21" t="str">
        <f aca="false">IF(A60="","",IFERROR(INDEX(Sessions!$C$5:$C$16,MATCH(A60,Sessions!$A$5:$A$16,0))&amp;" "&amp;INDEX(Sessions!$D$5:$D$16,MATCH(A60,Sessions!$A$5:$A$16,0)),""))</f>
        <v/>
      </c>
      <c r="C60" s="39"/>
      <c r="D60" s="23" t="str">
        <f aca="false">IF(C60="","",IFERROR(INDEX(Lists!$C$5:$C$9,MATCH(C60,Lists!$A$5:$A$9,0)),""))</f>
        <v/>
      </c>
      <c r="E60" s="36"/>
      <c r="F60" s="39"/>
      <c r="G60" s="39"/>
      <c r="H60" s="39"/>
      <c r="I60" s="36"/>
    </row>
    <row r="61" customFormat="false" ht="15" hidden="false" customHeight="false" outlineLevel="0" collapsed="false">
      <c r="A61" s="36"/>
      <c r="B61" s="21" t="str">
        <f aca="false">IF(A61="","",IFERROR(INDEX(Sessions!$C$5:$C$16,MATCH(A61,Sessions!$A$5:$A$16,0))&amp;" "&amp;INDEX(Sessions!$D$5:$D$16,MATCH(A61,Sessions!$A$5:$A$16,0)),""))</f>
        <v/>
      </c>
      <c r="C61" s="39"/>
      <c r="D61" s="23" t="str">
        <f aca="false">IF(C61="","",IFERROR(INDEX(Lists!$C$5:$C$9,MATCH(C61,Lists!$A$5:$A$9,0)),""))</f>
        <v/>
      </c>
      <c r="E61" s="36"/>
      <c r="F61" s="39"/>
      <c r="G61" s="39"/>
      <c r="H61" s="39"/>
      <c r="I61" s="36"/>
    </row>
    <row r="62" customFormat="false" ht="15" hidden="false" customHeight="false" outlineLevel="0" collapsed="false">
      <c r="A62" s="36"/>
      <c r="B62" s="21" t="str">
        <f aca="false">IF(A62="","",IFERROR(INDEX(Sessions!$C$5:$C$16,MATCH(A62,Sessions!$A$5:$A$16,0))&amp;" "&amp;INDEX(Sessions!$D$5:$D$16,MATCH(A62,Sessions!$A$5:$A$16,0)),""))</f>
        <v/>
      </c>
      <c r="C62" s="39"/>
      <c r="D62" s="23" t="str">
        <f aca="false">IF(C62="","",IFERROR(INDEX(Lists!$C$5:$C$9,MATCH(C62,Lists!$A$5:$A$9,0)),""))</f>
        <v/>
      </c>
      <c r="E62" s="36"/>
      <c r="F62" s="39"/>
      <c r="G62" s="39"/>
      <c r="H62" s="39"/>
      <c r="I62" s="36"/>
    </row>
    <row r="63" customFormat="false" ht="15" hidden="false" customHeight="false" outlineLevel="0" collapsed="false">
      <c r="A63" s="36"/>
      <c r="B63" s="21" t="str">
        <f aca="false">IF(A63="","",IFERROR(INDEX(Sessions!$C$5:$C$16,MATCH(A63,Sessions!$A$5:$A$16,0))&amp;" "&amp;INDEX(Sessions!$D$5:$D$16,MATCH(A63,Sessions!$A$5:$A$16,0)),""))</f>
        <v/>
      </c>
      <c r="C63" s="39"/>
      <c r="D63" s="23" t="str">
        <f aca="false">IF(C63="","",IFERROR(INDEX(Lists!$C$5:$C$9,MATCH(C63,Lists!$A$5:$A$9,0)),""))</f>
        <v/>
      </c>
      <c r="E63" s="36"/>
      <c r="F63" s="39"/>
      <c r="G63" s="39"/>
      <c r="H63" s="39"/>
      <c r="I63" s="36"/>
    </row>
    <row r="64" customFormat="false" ht="15" hidden="false" customHeight="false" outlineLevel="0" collapsed="false">
      <c r="A64" s="36"/>
      <c r="B64" s="21" t="str">
        <f aca="false">IF(A64="","",IFERROR(INDEX(Sessions!$C$5:$C$16,MATCH(A64,Sessions!$A$5:$A$16,0))&amp;" "&amp;INDEX(Sessions!$D$5:$D$16,MATCH(A64,Sessions!$A$5:$A$16,0)),""))</f>
        <v/>
      </c>
      <c r="C64" s="39"/>
      <c r="D64" s="23" t="str">
        <f aca="false">IF(C64="","",IFERROR(INDEX(Lists!$C$5:$C$9,MATCH(C64,Lists!$A$5:$A$9,0)),""))</f>
        <v/>
      </c>
      <c r="E64" s="36"/>
      <c r="F64" s="39"/>
      <c r="G64" s="39"/>
      <c r="H64" s="39"/>
      <c r="I64" s="36"/>
    </row>
  </sheetData>
  <dataValidations count="5">
    <dataValidation allowBlank="true" errorStyle="stop" operator="between" showDropDown="false" showErrorMessage="false" showInputMessage="false" sqref="A5:A64" type="list">
      <formula1>Sessions!$A$5:$A$16</formula1>
      <formula2>0</formula2>
    </dataValidation>
    <dataValidation allowBlank="true" errorStyle="stop" operator="between" showDropDown="false" showErrorMessage="false" showInputMessage="false" sqref="C5:C64" type="list">
      <formula1>Lists!$A$5:$A$9</formula1>
      <formula2>0</formula2>
    </dataValidation>
    <dataValidation allowBlank="true" errorStyle="stop" operator="between" showDropDown="false" showErrorMessage="false" showInputMessage="false" sqref="E5:E64" type="list">
      <formula1>Lists!$F$5:$F$7</formula1>
      <formula2>0</formula2>
    </dataValidation>
    <dataValidation allowBlank="true" errorStyle="stop" operator="between" showDropDown="false" showErrorMessage="false" showInputMessage="false" sqref="H5:H64" type="list">
      <formula1>Lists!$G$5:$G$6</formula1>
      <formula2>0</formula2>
    </dataValidation>
    <dataValidation allowBlank="true" errorStyle="stop" operator="between" showDropDown="false" showErrorMessage="false" showInputMessage="false" sqref="G5:G64" type="whole">
      <formula1>1</formula1>
      <formula2>7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A3C"/>
    <pageSetUpPr fitToPage="true"/>
  </sheetPr>
  <dimension ref="A1:O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4" min="12" style="0" width="11"/>
    <col collapsed="false" customWidth="true" hidden="false" outlineLevel="0" max="15" min="15" style="0" width="50"/>
  </cols>
  <sheetData>
    <row r="1" customFormat="false" ht="19.7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189</v>
      </c>
    </row>
    <row r="4" customFormat="false" ht="57.75" hidden="false" customHeight="true" outlineLevel="0" collapsed="false">
      <c r="A4" s="26" t="s">
        <v>104</v>
      </c>
      <c r="B4" s="26" t="s">
        <v>106</v>
      </c>
      <c r="C4" s="26" t="s">
        <v>190</v>
      </c>
      <c r="D4" s="26" t="s">
        <v>191</v>
      </c>
      <c r="E4" s="26" t="s">
        <v>192</v>
      </c>
      <c r="F4" s="26" t="s">
        <v>193</v>
      </c>
      <c r="G4" s="26" t="s">
        <v>194</v>
      </c>
      <c r="H4" s="26" t="s">
        <v>195</v>
      </c>
      <c r="I4" s="26" t="s">
        <v>196</v>
      </c>
      <c r="J4" s="26" t="s">
        <v>197</v>
      </c>
      <c r="K4" s="26" t="s">
        <v>198</v>
      </c>
      <c r="L4" s="26" t="s">
        <v>36</v>
      </c>
      <c r="M4" s="26" t="s">
        <v>199</v>
      </c>
      <c r="N4" s="26" t="s">
        <v>200</v>
      </c>
      <c r="O4" s="26" t="s">
        <v>201</v>
      </c>
    </row>
    <row r="5" customFormat="false" ht="23.85" hidden="false" customHeight="false" outlineLevel="0" collapsed="false">
      <c r="A5" s="21" t="s">
        <v>112</v>
      </c>
      <c r="B5" s="21" t="str">
        <f aca="false">IF(A5="","",IFERROR(INDEX(Sessions!$C$5:$C$16,MATCH(A5,Sessions!$A$5:$A$16,0))&amp;" "&amp;INDEX(Sessions!$D$5:$D$16,MATCH(A5,Sessions!$A$5:$A$16,0)),""))</f>
        <v>P1 Dr. Miriam Kessler</v>
      </c>
      <c r="C5" s="39" t="s">
        <v>167</v>
      </c>
      <c r="D5" s="39" t="s">
        <v>119</v>
      </c>
      <c r="E5" s="39" t="n">
        <v>5</v>
      </c>
      <c r="F5" s="39" t="s">
        <v>119</v>
      </c>
      <c r="G5" s="39" t="s">
        <v>202</v>
      </c>
      <c r="H5" s="39" t="s">
        <v>119</v>
      </c>
      <c r="I5" s="36" t="s">
        <v>203</v>
      </c>
      <c r="J5" s="39" t="s">
        <v>119</v>
      </c>
      <c r="K5" s="39" t="n">
        <v>4</v>
      </c>
      <c r="L5" s="39" t="n">
        <v>5</v>
      </c>
      <c r="M5" s="39" t="n">
        <v>5</v>
      </c>
      <c r="N5" s="39" t="n">
        <v>4</v>
      </c>
      <c r="O5" s="36" t="s">
        <v>204</v>
      </c>
    </row>
    <row r="6" customFormat="false" ht="23.85" hidden="false" customHeight="false" outlineLevel="0" collapsed="false">
      <c r="A6" s="21" t="s">
        <v>121</v>
      </c>
      <c r="B6" s="21" t="str">
        <f aca="false">IF(A6="","",IFERROR(INDEX(Sessions!$C$5:$C$16,MATCH(A6,Sessions!$A$5:$A$16,0))&amp;" "&amp;INDEX(Sessions!$D$5:$D$16,MATCH(A6,Sessions!$A$5:$A$16,0)),""))</f>
        <v>P3 Dr. Rainer Hollmann</v>
      </c>
      <c r="C6" s="39" t="s">
        <v>119</v>
      </c>
      <c r="D6" s="39" t="s">
        <v>205</v>
      </c>
      <c r="E6" s="39" t="n">
        <v>4</v>
      </c>
      <c r="F6" s="39" t="s">
        <v>119</v>
      </c>
      <c r="G6" s="39" t="s">
        <v>206</v>
      </c>
      <c r="H6" s="39" t="s">
        <v>119</v>
      </c>
      <c r="I6" s="36" t="s">
        <v>207</v>
      </c>
      <c r="J6" s="39" t="s">
        <v>119</v>
      </c>
      <c r="K6" s="39" t="n">
        <v>4</v>
      </c>
      <c r="L6" s="39" t="n">
        <v>4</v>
      </c>
      <c r="M6" s="39" t="n">
        <v>4</v>
      </c>
      <c r="N6" s="39" t="n">
        <v>5</v>
      </c>
      <c r="O6" s="36" t="s">
        <v>208</v>
      </c>
    </row>
    <row r="7" customFormat="false" ht="15" hidden="false" customHeight="false" outlineLevel="0" collapsed="false">
      <c r="A7" s="21" t="s">
        <v>126</v>
      </c>
      <c r="B7" s="21" t="str">
        <f aca="false">IF(A7="","",IFERROR(INDEX(Sessions!$C$5:$C$16,MATCH(A7,Sessions!$A$5:$A$16,0))&amp;" "&amp;INDEX(Sessions!$D$5:$D$16,MATCH(A7,Sessions!$A$5:$A$16,0)),""))</f>
        <v>P4 Prof. Dr. Sabine Aigner</v>
      </c>
      <c r="C7" s="39" t="s">
        <v>119</v>
      </c>
      <c r="D7" s="39" t="s">
        <v>205</v>
      </c>
      <c r="E7" s="39" t="n">
        <v>3</v>
      </c>
      <c r="F7" s="39" t="s">
        <v>167</v>
      </c>
      <c r="G7" s="39" t="s">
        <v>209</v>
      </c>
      <c r="H7" s="39" t="s">
        <v>167</v>
      </c>
      <c r="I7" s="36"/>
      <c r="J7" s="39" t="s">
        <v>167</v>
      </c>
      <c r="K7" s="39" t="n">
        <v>2</v>
      </c>
      <c r="L7" s="39" t="n">
        <v>3</v>
      </c>
      <c r="M7" s="39" t="n">
        <v>3</v>
      </c>
      <c r="N7" s="39" t="n">
        <v>4</v>
      </c>
      <c r="O7" s="36" t="s">
        <v>210</v>
      </c>
    </row>
    <row r="8" customFormat="false" ht="15" hidden="false" customHeight="false" outlineLevel="0" collapsed="false">
      <c r="A8" s="21" t="s">
        <v>131</v>
      </c>
      <c r="B8" s="21" t="str">
        <f aca="false">IF(A8="","",IFERROR(INDEX(Sessions!$C$5:$C$16,MATCH(A8,Sessions!$A$5:$A$16,0))&amp;" "&amp;INDEX(Sessions!$D$5:$D$16,MATCH(A8,Sessions!$A$5:$A$16,0)),""))</f>
        <v>P6 Dr. Ana Ferreira</v>
      </c>
      <c r="C8" s="39" t="s">
        <v>119</v>
      </c>
      <c r="D8" s="39" t="s">
        <v>167</v>
      </c>
      <c r="E8" s="39" t="n">
        <v>4</v>
      </c>
      <c r="F8" s="39" t="s">
        <v>205</v>
      </c>
      <c r="G8" s="39" t="s">
        <v>209</v>
      </c>
      <c r="H8" s="39" t="s">
        <v>167</v>
      </c>
      <c r="I8" s="36"/>
      <c r="J8" s="39" t="s">
        <v>205</v>
      </c>
      <c r="K8" s="39"/>
      <c r="L8" s="39" t="n">
        <v>5</v>
      </c>
      <c r="M8" s="39" t="n">
        <v>4</v>
      </c>
      <c r="N8" s="39" t="n">
        <v>5</v>
      </c>
      <c r="O8" s="36" t="s">
        <v>211</v>
      </c>
    </row>
    <row r="9" customFormat="false" ht="15" hidden="false" customHeight="false" outlineLevel="0" collapsed="false">
      <c r="A9" s="21" t="s">
        <v>136</v>
      </c>
      <c r="B9" s="21" t="str">
        <f aca="false">IF(A9="","",IFERROR(INDEX(Sessions!$C$5:$C$16,MATCH(A9,Sessions!$A$5:$A$16,0))&amp;" "&amp;INDEX(Sessions!$D$5:$D$16,MATCH(A9,Sessions!$A$5:$A$16,0)),""))</f>
        <v>P2 Jonas Brändli</v>
      </c>
      <c r="C9" s="39" t="s">
        <v>119</v>
      </c>
      <c r="D9" s="39" t="s">
        <v>119</v>
      </c>
      <c r="E9" s="39" t="n">
        <v>4</v>
      </c>
      <c r="F9" s="39" t="s">
        <v>119</v>
      </c>
      <c r="G9" s="39" t="s">
        <v>202</v>
      </c>
      <c r="H9" s="39" t="s">
        <v>119</v>
      </c>
      <c r="I9" s="36" t="s">
        <v>212</v>
      </c>
      <c r="J9" s="39" t="s">
        <v>167</v>
      </c>
      <c r="K9" s="39" t="n">
        <v>2</v>
      </c>
      <c r="L9" s="39" t="n">
        <v>4</v>
      </c>
      <c r="M9" s="39" t="n">
        <v>5</v>
      </c>
      <c r="N9" s="39" t="n">
        <v>4</v>
      </c>
      <c r="O9" s="36" t="s">
        <v>213</v>
      </c>
    </row>
    <row r="10" customFormat="false" ht="23.85" hidden="false" customHeight="false" outlineLevel="0" collapsed="false">
      <c r="A10" s="21" t="s">
        <v>141</v>
      </c>
      <c r="B10" s="21" t="str">
        <f aca="false">IF(A10="","",IFERROR(INDEX(Sessions!$C$5:$C$16,MATCH(A10,Sessions!$A$5:$A$16,0))&amp;" "&amp;INDEX(Sessions!$D$5:$D$16,MATCH(A10,Sessions!$A$5:$A$16,0)),""))</f>
        <v>P5 Ulrike Sandmann</v>
      </c>
      <c r="C10" s="39" t="s">
        <v>167</v>
      </c>
      <c r="D10" s="39" t="s">
        <v>205</v>
      </c>
      <c r="E10" s="39" t="n">
        <v>3</v>
      </c>
      <c r="F10" s="39" t="s">
        <v>119</v>
      </c>
      <c r="G10" s="39" t="s">
        <v>206</v>
      </c>
      <c r="H10" s="39" t="s">
        <v>119</v>
      </c>
      <c r="I10" s="36" t="s">
        <v>214</v>
      </c>
      <c r="J10" s="39" t="s">
        <v>167</v>
      </c>
      <c r="K10" s="39" t="n">
        <v>3</v>
      </c>
      <c r="L10" s="39" t="n">
        <v>3</v>
      </c>
      <c r="M10" s="39" t="n">
        <v>4</v>
      </c>
      <c r="N10" s="39" t="n">
        <v>2</v>
      </c>
      <c r="O10" s="36" t="s">
        <v>215</v>
      </c>
    </row>
    <row r="11" customFormat="false" ht="15" hidden="false" customHeight="false" outlineLevel="0" collapsed="false">
      <c r="A11" s="21" t="s">
        <v>146</v>
      </c>
      <c r="B11" s="21" t="str">
        <f aca="false">IF(A11="","",IFERROR(INDEX(Sessions!$C$5:$C$16,MATCH(A11,Sessions!$A$5:$A$16,0))&amp;" "&amp;INDEX(Sessions!$D$5:$D$16,MATCH(A11,Sessions!$A$5:$A$16,0)),""))</f>
        <v>R1 [real librarian 1]</v>
      </c>
      <c r="C11" s="39"/>
      <c r="D11" s="39"/>
      <c r="E11" s="39"/>
      <c r="F11" s="39"/>
      <c r="G11" s="39"/>
      <c r="H11" s="39"/>
      <c r="I11" s="36"/>
      <c r="J11" s="39"/>
      <c r="K11" s="39"/>
      <c r="L11" s="39"/>
      <c r="M11" s="39"/>
      <c r="N11" s="39"/>
      <c r="O11" s="36"/>
    </row>
    <row r="12" customFormat="false" ht="15" hidden="false" customHeight="false" outlineLevel="0" collapsed="false">
      <c r="A12" s="21" t="s">
        <v>152</v>
      </c>
      <c r="B12" s="21" t="str">
        <f aca="false">IF(A12="","",IFERROR(INDEX(Sessions!$C$5:$C$16,MATCH(A12,Sessions!$A$5:$A$16,0))&amp;" "&amp;INDEX(Sessions!$D$5:$D$16,MATCH(A12,Sessions!$A$5:$A$16,0)),""))</f>
        <v>R2 [real librarian 2]</v>
      </c>
      <c r="C12" s="39"/>
      <c r="D12" s="39"/>
      <c r="E12" s="39"/>
      <c r="F12" s="39"/>
      <c r="G12" s="39"/>
      <c r="H12" s="39"/>
      <c r="I12" s="36"/>
      <c r="J12" s="39"/>
      <c r="K12" s="39"/>
      <c r="L12" s="39"/>
      <c r="M12" s="39"/>
      <c r="N12" s="39"/>
      <c r="O12" s="36"/>
    </row>
    <row r="13" customFormat="false" ht="15" hidden="false" customHeight="false" outlineLevel="0" collapsed="false">
      <c r="A13" s="21" t="s">
        <v>155</v>
      </c>
      <c r="B13" s="21" t="str">
        <f aca="false">IF(A13="","",IFERROR(INDEX(Sessions!$C$5:$C$16,MATCH(A13,Sessions!$A$5:$A$16,0))&amp;" "&amp;INDEX(Sessions!$D$5:$D$16,MATCH(A13,Sessions!$A$5:$A$16,0)),""))</f>
        <v>R3 [real director]</v>
      </c>
      <c r="C13" s="39"/>
      <c r="D13" s="39"/>
      <c r="E13" s="39"/>
      <c r="F13" s="39"/>
      <c r="G13" s="39"/>
      <c r="H13" s="39"/>
      <c r="I13" s="36"/>
      <c r="J13" s="39"/>
      <c r="K13" s="39"/>
      <c r="L13" s="39"/>
      <c r="M13" s="39"/>
      <c r="N13" s="39"/>
      <c r="O13" s="36"/>
    </row>
    <row r="14" customFormat="false" ht="15" hidden="false" customHeight="false" outlineLevel="0" collapsed="false">
      <c r="A14" s="21" t="s">
        <v>158</v>
      </c>
      <c r="B14" s="21" t="str">
        <f aca="false">IF(A14="","",IFERROR(INDEX(Sessions!$C$5:$C$16,MATCH(A14,Sessions!$A$5:$A$16,0))&amp;" "&amp;INDEX(Sessions!$D$5:$D$16,MATCH(A14,Sessions!$A$5:$A$16,0)),""))</f>
        <v> </v>
      </c>
      <c r="C14" s="39"/>
      <c r="D14" s="39"/>
      <c r="E14" s="39"/>
      <c r="F14" s="39"/>
      <c r="G14" s="39"/>
      <c r="H14" s="39"/>
      <c r="I14" s="36"/>
      <c r="J14" s="39"/>
      <c r="K14" s="39"/>
      <c r="L14" s="39"/>
      <c r="M14" s="39"/>
      <c r="N14" s="39"/>
      <c r="O14" s="36"/>
    </row>
    <row r="15" customFormat="false" ht="15" hidden="false" customHeight="false" outlineLevel="0" collapsed="false">
      <c r="A15" s="21" t="s">
        <v>159</v>
      </c>
      <c r="B15" s="21" t="str">
        <f aca="false">IF(A15="","",IFERROR(INDEX(Sessions!$C$5:$C$16,MATCH(A15,Sessions!$A$5:$A$16,0))&amp;" "&amp;INDEX(Sessions!$D$5:$D$16,MATCH(A15,Sessions!$A$5:$A$16,0)),""))</f>
        <v> </v>
      </c>
      <c r="C15" s="39"/>
      <c r="D15" s="39"/>
      <c r="E15" s="39"/>
      <c r="F15" s="39"/>
      <c r="G15" s="39"/>
      <c r="H15" s="39"/>
      <c r="I15" s="36"/>
      <c r="J15" s="39"/>
      <c r="K15" s="39"/>
      <c r="L15" s="39"/>
      <c r="M15" s="39"/>
      <c r="N15" s="39"/>
      <c r="O15" s="36"/>
    </row>
    <row r="16" customFormat="false" ht="15" hidden="false" customHeight="false" outlineLevel="0" collapsed="false">
      <c r="A16" s="21" t="s">
        <v>160</v>
      </c>
      <c r="B16" s="21" t="str">
        <f aca="false">IF(A16="","",IFERROR(INDEX(Sessions!$C$5:$C$16,MATCH(A16,Sessions!$A$5:$A$16,0))&amp;" "&amp;INDEX(Sessions!$D$5:$D$16,MATCH(A16,Sessions!$A$5:$A$16,0)),""))</f>
        <v> </v>
      </c>
      <c r="C16" s="39"/>
      <c r="D16" s="39"/>
      <c r="E16" s="39"/>
      <c r="F16" s="39"/>
      <c r="G16" s="39"/>
      <c r="H16" s="39"/>
      <c r="I16" s="36"/>
      <c r="J16" s="39"/>
      <c r="K16" s="39"/>
      <c r="L16" s="39"/>
      <c r="M16" s="39"/>
      <c r="N16" s="39"/>
      <c r="O16" s="36"/>
    </row>
  </sheetData>
  <dataValidations count="7">
    <dataValidation allowBlank="true" errorStyle="stop" operator="between" showDropDown="false" showErrorMessage="false" showInputMessage="false" sqref="C5:C16" type="list">
      <formula1>Lists!$G$5:$G$6</formula1>
      <formula2>0</formula2>
    </dataValidation>
    <dataValidation allowBlank="true" errorStyle="stop" operator="between" showDropDown="false" showErrorMessage="false" showInputMessage="false" sqref="H5:H16" type="list">
      <formula1>Lists!$G$5:$G$6</formula1>
      <formula2>0</formula2>
    </dataValidation>
    <dataValidation allowBlank="true" errorStyle="stop" operator="between" showDropDown="false" showErrorMessage="false" showInputMessage="false" sqref="D5:D16" type="list">
      <formula1>Lists!$H$5:$H$7</formula1>
      <formula2>0</formula2>
    </dataValidation>
    <dataValidation allowBlank="true" errorStyle="stop" operator="between" showDropDown="false" showErrorMessage="false" showInputMessage="false" sqref="F5:F16" type="list">
      <formula1>Lists!$H$5:$H$7</formula1>
      <formula2>0</formula2>
    </dataValidation>
    <dataValidation allowBlank="true" errorStyle="stop" operator="between" showDropDown="false" showErrorMessage="false" showInputMessage="false" sqref="J5:J16" type="list">
      <formula1>Lists!$H$5:$H$7</formula1>
      <formula2>0</formula2>
    </dataValidation>
    <dataValidation allowBlank="true" errorStyle="stop" operator="between" showDropDown="false" showErrorMessage="false" showInputMessage="false" sqref="G5:G16" type="list">
      <formula1>Lists!$I$5:$I$7</formula1>
      <formula2>0</formula2>
    </dataValidation>
    <dataValidation allowBlank="true" errorStyle="stop" operator="between" showDropDown="false" showErrorMessage="false" showInputMessage="false" sqref="E5:E16 K5:N16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A3C"/>
    <pageSetUpPr fitToPage="tru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11" min="6" style="0" width="12"/>
  </cols>
  <sheetData>
    <row r="1" customFormat="false" ht="19.7" hidden="false" customHeight="false" outlineLevel="0" collapsed="false">
      <c r="A1" s="1" t="s">
        <v>216</v>
      </c>
    </row>
    <row r="2" customFormat="false" ht="15" hidden="false" customHeight="false" outlineLevel="0" collapsed="false">
      <c r="A2" s="2" t="s">
        <v>217</v>
      </c>
    </row>
    <row r="4" customFormat="false" ht="30" hidden="false" customHeight="true" outlineLevel="0" collapsed="false">
      <c r="A4" s="26" t="s">
        <v>49</v>
      </c>
      <c r="B4" s="26" t="s">
        <v>50</v>
      </c>
      <c r="C4" s="26" t="s">
        <v>19</v>
      </c>
      <c r="D4" s="26" t="s">
        <v>9</v>
      </c>
      <c r="F4" s="18" t="s">
        <v>43</v>
      </c>
      <c r="G4" s="18" t="s">
        <v>218</v>
      </c>
      <c r="H4" s="18" t="s">
        <v>219</v>
      </c>
      <c r="I4" s="18" t="s">
        <v>220</v>
      </c>
      <c r="J4" s="18" t="s">
        <v>108</v>
      </c>
      <c r="K4" s="18" t="s">
        <v>46</v>
      </c>
    </row>
    <row r="5" customFormat="false" ht="15" hidden="false" customHeight="false" outlineLevel="0" collapsed="false">
      <c r="A5" s="21" t="s">
        <v>166</v>
      </c>
      <c r="B5" s="21" t="s">
        <v>221</v>
      </c>
      <c r="C5" s="21" t="s">
        <v>222</v>
      </c>
      <c r="D5" s="21" t="s">
        <v>223</v>
      </c>
      <c r="F5" s="21" t="s">
        <v>52</v>
      </c>
      <c r="G5" s="21" t="s">
        <v>119</v>
      </c>
      <c r="H5" s="21" t="s">
        <v>119</v>
      </c>
      <c r="I5" s="21" t="s">
        <v>206</v>
      </c>
      <c r="J5" s="21" t="s">
        <v>116</v>
      </c>
      <c r="K5" s="21" t="s">
        <v>151</v>
      </c>
    </row>
    <row r="6" customFormat="false" ht="15" hidden="false" customHeight="false" outlineLevel="0" collapsed="false">
      <c r="A6" s="21" t="s">
        <v>169</v>
      </c>
      <c r="B6" s="21" t="s">
        <v>224</v>
      </c>
      <c r="C6" s="21" t="s">
        <v>225</v>
      </c>
      <c r="D6" s="21" t="s">
        <v>82</v>
      </c>
      <c r="F6" s="21" t="s">
        <v>172</v>
      </c>
      <c r="G6" s="21" t="s">
        <v>167</v>
      </c>
      <c r="H6" s="21" t="s">
        <v>167</v>
      </c>
      <c r="I6" s="21" t="s">
        <v>202</v>
      </c>
      <c r="J6" s="21" t="s">
        <v>150</v>
      </c>
      <c r="K6" s="21" t="s">
        <v>120</v>
      </c>
    </row>
    <row r="7" customFormat="false" ht="15" hidden="false" customHeight="false" outlineLevel="0" collapsed="false">
      <c r="A7" s="21" t="s">
        <v>171</v>
      </c>
      <c r="B7" s="21" t="s">
        <v>226</v>
      </c>
      <c r="C7" s="21" t="s">
        <v>227</v>
      </c>
      <c r="D7" s="21" t="s">
        <v>228</v>
      </c>
      <c r="F7" s="21" t="s">
        <v>54</v>
      </c>
      <c r="H7" s="21" t="s">
        <v>205</v>
      </c>
      <c r="I7" s="21" t="s">
        <v>209</v>
      </c>
      <c r="K7" s="21" t="s">
        <v>229</v>
      </c>
    </row>
    <row r="8" customFormat="false" ht="15" hidden="false" customHeight="false" outlineLevel="0" collapsed="false">
      <c r="A8" s="21" t="s">
        <v>177</v>
      </c>
      <c r="B8" s="21" t="s">
        <v>230</v>
      </c>
      <c r="C8" s="21" t="s">
        <v>24</v>
      </c>
      <c r="D8" s="21" t="s">
        <v>87</v>
      </c>
    </row>
    <row r="9" customFormat="false" ht="15" hidden="false" customHeight="false" outlineLevel="0" collapsed="false">
      <c r="A9" s="21" t="s">
        <v>174</v>
      </c>
      <c r="B9" s="21" t="s">
        <v>231</v>
      </c>
      <c r="C9" s="21" t="s">
        <v>22</v>
      </c>
      <c r="D9" s="21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576A77E95363242BEAEB8924ABD2C05" ma:contentTypeVersion="12" ma:contentTypeDescription="Ein neues Dokument erstellen." ma:contentTypeScope="" ma:versionID="5493b18cc296a886b4ab261055e97cc8">
  <xsd:schema xmlns:xsd="http://www.w3.org/2001/XMLSchema" xmlns:xs="http://www.w3.org/2001/XMLSchema" xmlns:p="http://schemas.microsoft.com/office/2006/metadata/properties" xmlns:ns2="7a2769ee-156b-4618-a3e5-4d9db9039833" xmlns:ns3="1a9556cc-261a-47bf-93b5-3ab15cd3bb6c" targetNamespace="http://schemas.microsoft.com/office/2006/metadata/properties" ma:root="true" ma:fieldsID="4afece236ef084d6805ea8f62cfca45d" ns2:_="" ns3:_="">
    <xsd:import namespace="7a2769ee-156b-4618-a3e5-4d9db9039833"/>
    <xsd:import namespace="1a9556cc-261a-47bf-93b5-3ab15cd3bb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769ee-156b-4618-a3e5-4d9db90398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6d826492-7cd1-4829-9dae-4a02f8295a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9556cc-261a-47bf-93b5-3ab15cd3bb6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03055b0-2405-4f2b-82ae-daa412e473d6}" ma:internalName="TaxCatchAll" ma:showField="CatchAllData" ma:web="1a9556cc-261a-47bf-93b5-3ab15cd3bb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9556cc-261a-47bf-93b5-3ab15cd3bb6c" xsi:nil="true"/>
    <lcf76f155ced4ddcb4097134ff3c332f xmlns="7a2769ee-156b-4618-a3e5-4d9db90398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EC8B75-8A70-44E1-8236-119B68D3E1DA}"/>
</file>

<file path=customXml/itemProps2.xml><?xml version="1.0" encoding="utf-8"?>
<ds:datastoreItem xmlns:ds="http://schemas.openxmlformats.org/officeDocument/2006/customXml" ds:itemID="{FF303F04-B9ED-4550-B2AB-8ED6F0B320D7}"/>
</file>

<file path=customXml/itemProps3.xml><?xml version="1.0" encoding="utf-8"?>
<ds:datastoreItem xmlns:ds="http://schemas.openxmlformats.org/officeDocument/2006/customXml" ds:itemID="{C700AA1F-0A1C-4D5B-BAE6-7CF867F220F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2026-10-31T13:12:53Z</dcterms:created>
  <dcterms:modified xsi:type="dcterms:W3CDTF">2026-10-31T13:12:53Z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0x0101005576A77E95363242BEAEB8924ABD2C05</vt:lpwstr>
  </property>
</Properties>
</file>