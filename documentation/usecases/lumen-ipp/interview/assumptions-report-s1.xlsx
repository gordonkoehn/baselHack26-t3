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umptions Report" sheetId="1" state="visible" r:id="rId1"/>
  </sheets>
  <definedNames>
    <definedName name="_xlnm.Print_Area" localSheetId="0">'Assumptions Report'!$B$1:$I$55</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Inter"/>
      <b val="1"/>
      <color rgb="00121413"/>
      <sz val="18"/>
    </font>
    <font>
      <name val="Inter"/>
      <color rgb="005E6563"/>
      <sz val="10"/>
    </font>
    <font>
      <name val="Inter"/>
      <b val="1"/>
      <color rgb="005E6563"/>
      <sz val="9"/>
    </font>
    <font>
      <name val="Inter"/>
      <b val="1"/>
      <color rgb="000F7A5C"/>
      <sz val="20"/>
    </font>
    <font>
      <name val="Inter"/>
      <b val="1"/>
      <color rgb="00121413"/>
      <sz val="13"/>
    </font>
    <font>
      <name val="Inter"/>
      <b val="1"/>
      <color rgb="00FFFFFF"/>
      <sz val="11"/>
    </font>
    <font>
      <name val="Inter"/>
      <b val="1"/>
      <color rgb="00121413"/>
      <sz val="11"/>
    </font>
    <font>
      <name val="Inter"/>
      <i val="1"/>
      <color rgb="00121413"/>
      <sz val="10"/>
    </font>
    <font>
      <name val="Inter"/>
      <color rgb="00121413"/>
      <sz val="10"/>
    </font>
    <font>
      <name val="Inter"/>
      <b val="1"/>
      <color rgb="00121413"/>
      <sz val="12"/>
    </font>
    <font>
      <name val="Inter"/>
      <b val="1"/>
      <sz val="10"/>
    </font>
    <font>
      <name val="Inter"/>
      <color rgb="005E6563"/>
      <sz val="9"/>
    </font>
    <font>
      <name val="Inter"/>
      <b val="1"/>
      <color rgb="00FFFFFF"/>
      <sz val="10"/>
    </font>
  </fonts>
  <fills count="4">
    <fill>
      <patternFill/>
    </fill>
    <fill>
      <patternFill patternType="gray125"/>
    </fill>
    <fill>
      <patternFill patternType="solid">
        <fgColor rgb="00FFF1CC"/>
      </patternFill>
    </fill>
    <fill>
      <patternFill patternType="solid">
        <fgColor rgb="000F7A5C"/>
      </patternFill>
    </fill>
  </fills>
  <borders count="5">
    <border>
      <left/>
      <right/>
      <top/>
      <bottom/>
      <diagonal/>
    </border>
    <border>
      <left style="thin">
        <color rgb="00D5DAD8"/>
      </left>
      <right style="thin">
        <color rgb="00D5DAD8"/>
      </right>
      <top style="thin">
        <color rgb="00D5DAD8"/>
      </top>
      <bottom style="thin">
        <color rgb="00D5DAD8"/>
      </bottom>
    </border>
    <border>
      <left/>
      <right/>
      <top style="thin">
        <color rgb="00D5DAD8"/>
      </top>
      <bottom/>
      <diagonal/>
    </border>
    <border>
      <left/>
      <right style="thin">
        <color rgb="00D5DAD8"/>
      </right>
      <top style="thin">
        <color rgb="00D5DAD8"/>
      </top>
      <bottom/>
      <diagonal/>
    </border>
    <border>
      <left/>
      <right style="thin">
        <color rgb="00D5DAD8"/>
      </right>
      <top style="thin">
        <color rgb="00D5DAD8"/>
      </top>
      <bottom style="thin">
        <color rgb="00D5DAD8"/>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2" borderId="1" applyAlignment="1" pivotButton="0" quotePrefix="0" xfId="0">
      <alignment horizontal="center" vertical="center" wrapText="1"/>
    </xf>
    <xf numFmtId="0" fontId="5" fillId="0" borderId="0" pivotButton="0" quotePrefix="0" xfId="0"/>
    <xf numFmtId="0" fontId="6" fillId="3" borderId="0" applyAlignment="1" pivotButton="0" quotePrefix="0" xfId="0">
      <alignment horizontal="center" vertical="center" wrapText="1"/>
    </xf>
    <xf numFmtId="0" fontId="7" fillId="0" borderId="0" pivotButton="0" quotePrefix="0" xfId="0"/>
    <xf numFmtId="0" fontId="3" fillId="0" borderId="0" pivotButton="0" quotePrefix="0" xfId="0"/>
    <xf numFmtId="0" fontId="8" fillId="0" borderId="0" applyAlignment="1" pivotButton="0" quotePrefix="0" xfId="0">
      <alignment vertical="top" wrapText="1"/>
    </xf>
    <xf numFmtId="0" fontId="3" fillId="0" borderId="0" applyAlignment="1" pivotButton="0" quotePrefix="0" xfId="0">
      <alignment vertical="center"/>
    </xf>
    <xf numFmtId="0" fontId="3" fillId="0" borderId="0" applyAlignment="1" pivotButton="0" quotePrefix="0" xfId="0">
      <alignment horizontal="center" vertical="center" wrapText="1"/>
    </xf>
    <xf numFmtId="0" fontId="9" fillId="0" borderId="1" applyAlignment="1" pivotButton="0" quotePrefix="0" xfId="0">
      <alignment vertical="top" wrapText="1"/>
    </xf>
    <xf numFmtId="9" fontId="9" fillId="2" borderId="1" applyAlignment="1" pivotButton="0" quotePrefix="0" xfId="0">
      <alignment horizontal="center" vertical="center" wrapText="1"/>
    </xf>
    <xf numFmtId="9" fontId="10"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0" fillId="0" borderId="4" pivotButton="0" quotePrefix="0" xfId="0"/>
    <xf numFmtId="0" fontId="12" fillId="0" borderId="0" pivotButton="0" quotePrefix="0" xfId="0"/>
    <xf numFmtId="9" fontId="0" fillId="0" borderId="0" pivotButton="0" quotePrefix="0" xfId="0"/>
    <xf numFmtId="0" fontId="13" fillId="3" borderId="0" applyAlignment="1" pivotButton="0" quotePrefix="0" xfId="0">
      <alignment horizontal="center" vertical="center" wrapText="1"/>
    </xf>
    <xf numFmtId="0" fontId="9" fillId="0" borderId="1" applyAlignment="1" pivotButton="0" quotePrefix="0" xfId="0">
      <alignment vertical="top"/>
    </xf>
    <xf numFmtId="0" fontId="9" fillId="2" borderId="1" applyAlignment="1" pivotButton="0" quotePrefix="0" xfId="0">
      <alignment vertical="top"/>
    </xf>
    <xf numFmtId="0" fontId="9" fillId="2" borderId="1" applyAlignment="1" pivotButton="0" quotePrefix="0" xfId="0">
      <alignment horizontal="center" vertical="center" wrapText="1"/>
    </xf>
    <xf numFmtId="0" fontId="9" fillId="2" borderId="1" applyAlignment="1" pivotButton="0" quotePrefix="0" xfId="0">
      <alignment vertical="top" wrapText="1"/>
    </xf>
  </cellXfs>
  <cellStyles count="1">
    <cellStyle name="Normal" xfId="0" builtinId="0" hidden="0"/>
  </cellStyles>
  <dxfs count="3">
    <dxf>
      <font>
        <name val="Inter"/>
        <b val="1"/>
        <color rgb="000B5A44"/>
      </font>
      <fill>
        <patternFill patternType="solid">
          <fgColor rgb="00E2F2EB"/>
        </patternFill>
      </fill>
    </dxf>
    <dxf>
      <font>
        <name val="Inter"/>
        <b val="1"/>
        <color rgb="008A5A12"/>
      </font>
      <fill>
        <patternFill patternType="solid">
          <fgColor rgb="00FBF1DF"/>
        </patternFill>
      </fill>
    </dxf>
    <dxf>
      <font>
        <name val="Inter"/>
        <b val="1"/>
        <color rgb="009B2C1F"/>
      </font>
      <fill>
        <patternFill patternType="solid">
          <fgColor rgb="00FBE3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style val="10"/>
  <chart>
    <plotArea>
      <barChart>
        <barDir val="bar"/>
        <grouping val="clustered"/>
        <ser>
          <idx val="0"/>
          <order val="0"/>
          <tx>
            <strRef>
              <f>'Assumptions Report'!L23</f>
            </strRef>
          </tx>
          <spPr>
            <a:solidFill xmlns:a="http://schemas.openxmlformats.org/drawingml/2006/main">
              <a:srgbClr val="0F7A5C"/>
            </a:solidFill>
            <a:ln xmlns:a="http://schemas.openxmlformats.org/drawingml/2006/main">
              <a:prstDash val="solid"/>
            </a:ln>
          </spPr>
          <cat>
            <numRef>
              <f>'Assumptions Report'!$K$24:$K$26</f>
            </numRef>
          </cat>
          <val>
            <numRef>
              <f>'Assumptions Report'!$L$24:$L$26</f>
            </numRef>
          </val>
        </ser>
        <ser>
          <idx val="1"/>
          <order val="1"/>
          <tx>
            <strRef>
              <f>'Assumptions Report'!M23</f>
            </strRef>
          </tx>
          <spPr>
            <a:solidFill xmlns:a="http://schemas.openxmlformats.org/drawingml/2006/main">
              <a:srgbClr val="9FD8C2"/>
            </a:solidFill>
            <a:ln xmlns:a="http://schemas.openxmlformats.org/drawingml/2006/main">
              <a:prstDash val="solid"/>
            </a:ln>
          </spPr>
          <cat>
            <numRef>
              <f>'Assumptions Report'!$K$24:$K$26</f>
            </numRef>
          </cat>
          <val>
            <numRef>
              <f>'Assumptions Report'!$M$24:$M$26</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max val="1"/>
          <min val="0"/>
        </scaling>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22</row>
      <rowOff>0</rowOff>
    </from>
    <ext cx="6120000" cy="23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M55"/>
  <sheetViews>
    <sheetView showGridLines="0" workbookViewId="0">
      <selection activeCell="A1" sqref="A1"/>
    </sheetView>
  </sheetViews>
  <sheetFormatPr baseColWidth="8" defaultRowHeight="15"/>
  <cols>
    <col width="4" customWidth="1" min="1" max="1"/>
    <col width="30" customWidth="1" min="2" max="2"/>
    <col width="14" customWidth="1" min="3" max="3"/>
    <col width="12" customWidth="1" min="4" max="4"/>
    <col width="12" customWidth="1" min="5" max="5"/>
    <col width="12" customWidth="1" min="6" max="6"/>
    <col width="16" customWidth="1" min="7" max="7"/>
    <col width="40" customWidth="1" min="8" max="8"/>
    <col width="52" customWidth="1" min="9" max="9"/>
    <col hidden="1" width="13" customWidth="1" min="11" max="11"/>
    <col hidden="1" width="13" customWidth="1" min="12" max="12"/>
    <col hidden="1" width="13" customWidth="1" min="13" max="13"/>
  </cols>
  <sheetData>
    <row r="1">
      <c r="B1" s="1" t="inlineStr">
        <is>
          <t>Assumptions report · Lumen renewal kit · Screen S1 (email)</t>
        </is>
      </c>
    </row>
    <row r="2">
      <c r="B2" s="2" t="inlineStr">
        <is>
          <t>EXAMPLE – fictional results from six persona-twin sessions with the short interview guide. Only the email (S1) was shown, so only the assumptions it can answer are here.</t>
        </is>
      </c>
    </row>
    <row r="4">
      <c r="B4" s="3" t="inlineStr">
        <is>
          <t>Persons interviewed</t>
        </is>
      </c>
      <c r="C4" s="3" t="inlineStr">
        <is>
          <t>Target</t>
        </is>
      </c>
      <c r="D4" s="3" t="inlineStr">
        <is>
          <t>Confirmed</t>
        </is>
      </c>
      <c r="E4" s="3" t="inlineStr">
        <is>
          <t>Mixed</t>
        </is>
      </c>
      <c r="F4" s="3" t="inlineStr">
        <is>
          <t>Rejected</t>
        </is>
      </c>
    </row>
    <row r="5" ht="34" customHeight="1">
      <c r="B5" s="4">
        <f>COUNTIF($C$42:$C$53,"?*")</f>
        <v/>
      </c>
      <c r="C5" s="5" t="n">
        <v>6</v>
      </c>
      <c r="D5" s="4">
        <f>COUNTIF($G$9:$G$19,"Confirmed")</f>
        <v/>
      </c>
      <c r="E5" s="4">
        <f>COUNTIF($G$9:$G$19,"Mixed")</f>
        <v/>
      </c>
      <c r="F5" s="4">
        <f>COUNTIF($G$9:$G$19,"Rejected")</f>
        <v/>
      </c>
    </row>
    <row r="7">
      <c r="B7" s="6" t="inlineStr">
        <is>
          <t>Assumptions</t>
        </is>
      </c>
    </row>
    <row r="8" ht="30" customHeight="1">
      <c r="A8" s="7" t="inlineStr">
        <is>
          <t>A1</t>
        </is>
      </c>
      <c r="B8" s="8" t="inlineStr">
        <is>
          <t>Librarians like the email in principle and see no problem forwarding it</t>
        </is>
      </c>
      <c r="G8" s="9" t="inlineStr">
        <is>
          <t>Question</t>
        </is>
      </c>
      <c r="H8" s="10" t="inlineStr">
        <is>
          <t>“What do you think of it?” · “Do you see any problem in forwarding it?”</t>
        </is>
      </c>
    </row>
    <row r="9">
      <c r="B9" s="11" t="inlineStr">
        <is>
          <t>Metric</t>
        </is>
      </c>
      <c r="C9" s="12" t="inlineStr">
        <is>
          <t>Confirmed at</t>
        </is>
      </c>
      <c r="D9" s="12" t="inlineStr">
        <is>
          <t>Rejected below</t>
        </is>
      </c>
      <c r="E9" s="12" t="inlineStr">
        <is>
          <t>Result</t>
        </is>
      </c>
      <c r="F9" s="12" t="inlineStr">
        <is>
          <t>n</t>
        </is>
      </c>
      <c r="G9" s="12" t="inlineStr">
        <is>
          <t>Status</t>
        </is>
      </c>
      <c r="H9" s="12" t="inlineStr">
        <is>
          <t>What we learned</t>
        </is>
      </c>
    </row>
    <row r="10" ht="44" customHeight="1">
      <c r="B10" s="13" t="inlineStr">
        <is>
          <t>Share who like it in principle AND see no blocking problem</t>
        </is>
      </c>
      <c r="C10" s="14" t="n">
        <v>0.666</v>
      </c>
      <c r="D10" s="14" t="n">
        <v>0.5</v>
      </c>
      <c r="E10" s="15">
        <f>IFERROR(COUNTIFS($D$42:$D$53,"Y",$E$42:$E$53,"N")/COUNTIF($D$42:$D$53,"?*"),"")</f>
        <v/>
      </c>
      <c r="F10" s="16">
        <f>COUNTIF($D$42:$D$53,"?*")</f>
        <v/>
      </c>
      <c r="G10" s="17">
        <f>IF(OR(F10=0,E10=""),"No data",IF(E10&gt;=C10,"Confirmed",IF(E10&lt;D10,"Rejected","Mixed")))</f>
        <v/>
      </c>
      <c r="H10" s="13" t="inlineStr">
        <is>
          <t>Half say yes without a catch. The director, the VP and the consortium each see a problem: no comparison, no named checker.</t>
        </is>
      </c>
      <c r="I10" s="18" t="n"/>
    </row>
    <row r="12" ht="30" customHeight="1">
      <c r="A12" s="7" t="inlineStr">
        <is>
          <t>A2</t>
        </is>
      </c>
      <c r="B12" s="8" t="inlineStr">
        <is>
          <t>Push beats login: people act on the email</t>
        </is>
      </c>
      <c r="G12" s="9" t="inlineStr">
        <is>
          <t>Question</t>
        </is>
      </c>
      <c r="H12" s="10" t="inlineStr">
        <is>
          <t>Observed: do they open, download or forward without a prompt?</t>
        </is>
      </c>
    </row>
    <row r="13">
      <c r="B13" s="11" t="inlineStr">
        <is>
          <t>Metric</t>
        </is>
      </c>
      <c r="C13" s="12" t="inlineStr">
        <is>
          <t>Confirmed at</t>
        </is>
      </c>
      <c r="D13" s="12" t="inlineStr">
        <is>
          <t>Rejected below</t>
        </is>
      </c>
      <c r="E13" s="12" t="inlineStr">
        <is>
          <t>Result</t>
        </is>
      </c>
      <c r="F13" s="12" t="inlineStr">
        <is>
          <t>n</t>
        </is>
      </c>
      <c r="G13" s="12" t="inlineStr">
        <is>
          <t>Status</t>
        </is>
      </c>
      <c r="H13" s="12" t="inlineStr">
        <is>
          <t>What we learned</t>
        </is>
      </c>
    </row>
    <row r="14" ht="44" customHeight="1">
      <c r="B14" s="13" t="inlineStr">
        <is>
          <t>Share who act on the email without a prompt</t>
        </is>
      </c>
      <c r="C14" s="14" t="n">
        <v>0.833</v>
      </c>
      <c r="D14" s="14" t="n">
        <v>0.666</v>
      </c>
      <c r="E14" s="15">
        <f>IFERROR(COUNTIF($F$42:$F$53,"Y")/COUNTIF($F$42:$F$53,"?*"),"")</f>
        <v/>
      </c>
      <c r="F14" s="16">
        <f>COUNTIF($F$42:$F$53,"?*")</f>
        <v/>
      </c>
      <c r="G14" s="17">
        <f>IF(OR(F14=0,E14=""),"No data",IF(E14&gt;=C14,"Confirmed",IF(E14&lt;D14,"Rejected","Mixed")))</f>
        <v/>
      </c>
      <c r="H14" s="13" t="inlineStr">
        <is>
          <t>Four of six act at once. Ana read it as marketing: sender and subject must say “your library”.</t>
        </is>
      </c>
      <c r="I14" s="18" t="n"/>
    </row>
    <row r="16" ht="30" customHeight="1">
      <c r="A16" s="7" t="inlineStr">
        <is>
          <t>A4</t>
        </is>
      </c>
      <c r="B16" s="8" t="inlineStr">
        <is>
          <t>Savings and our own researchers convince, not impact</t>
        </is>
      </c>
      <c r="G16" s="9" t="inlineStr">
        <is>
          <t>Question</t>
        </is>
      </c>
      <c r="H16" s="10" t="inlineStr">
        <is>
          <t>“Which figure would convince your decision-makers most?”</t>
        </is>
      </c>
    </row>
    <row r="17">
      <c r="B17" s="11" t="inlineStr">
        <is>
          <t>Metric</t>
        </is>
      </c>
      <c r="C17" s="12" t="inlineStr">
        <is>
          <t>Confirmed at</t>
        </is>
      </c>
      <c r="D17" s="12" t="inlineStr">
        <is>
          <t>Rejected below</t>
        </is>
      </c>
      <c r="E17" s="12" t="inlineStr">
        <is>
          <t>Result</t>
        </is>
      </c>
      <c r="F17" s="12" t="inlineStr">
        <is>
          <t>n</t>
        </is>
      </c>
      <c r="G17" s="12" t="inlineStr">
        <is>
          <t>Status</t>
        </is>
      </c>
      <c r="H17" s="12" t="inlineStr">
        <is>
          <t>What we learned</t>
        </is>
      </c>
    </row>
    <row r="18" ht="44" customHeight="1">
      <c r="B18" s="13" t="inlineStr">
        <is>
          <t>Share naming Savings or Researchers</t>
        </is>
      </c>
      <c r="C18" s="14" t="n">
        <v>0.666</v>
      </c>
      <c r="D18" s="14" t="n">
        <v>0.5</v>
      </c>
      <c r="E18" s="15">
        <f>IFERROR((COUNTIF($G$42:$G$53,"Savings")+COUNTIF($G$42:$G$53,"Researchers"))/COUNTIF($G$42:$G$53,"?*"),"")</f>
        <v/>
      </c>
      <c r="F18" s="16">
        <f>COUNTIF($G$42:$G$53,"?*")</f>
        <v/>
      </c>
      <c r="G18" s="17">
        <f>IF(OR(F18=0,E18=""),"No data",IF(E18&gt;=C18,"Confirmed",IF(E18&lt;D18,"Rejected","Mixed")))</f>
        <v/>
      </c>
      <c r="H18" s="13" t="inlineStr">
        <is>
          <t>Five of six pick savings or people. Only the data steward picks funder compliance (SNSF).</t>
        </is>
      </c>
      <c r="I18" s="18" t="n"/>
    </row>
    <row r="20">
      <c r="B20" s="19" t="inlineStr">
        <is>
          <t>Status rule: Confirmed if Result ≥ Confirmed at · Rejected if Result &lt; Rejected below · Mixed in between. A3 (method), A5 (completeness) and A6 (expansion) need screens S2–S5 and are left out of this round.</t>
        </is>
      </c>
    </row>
    <row r="22">
      <c r="B22" s="6" t="inlineStr">
        <is>
          <t>Figure · Result against the confirm threshold</t>
        </is>
      </c>
    </row>
    <row r="23">
      <c r="K23" t="inlineStr">
        <is>
          <t>Assumption</t>
        </is>
      </c>
      <c r="L23" t="inlineStr">
        <is>
          <t>Result</t>
        </is>
      </c>
      <c r="M23" t="inlineStr">
        <is>
          <t>Confirmed at</t>
        </is>
      </c>
    </row>
    <row r="24">
      <c r="K24" t="inlineStr">
        <is>
          <t>A1</t>
        </is>
      </c>
      <c r="L24" s="20">
        <f>IF(E10="",0,E10)</f>
        <v/>
      </c>
      <c r="M24" s="20">
        <f>C10</f>
        <v/>
      </c>
    </row>
    <row r="25">
      <c r="K25" t="inlineStr">
        <is>
          <t>A2</t>
        </is>
      </c>
      <c r="L25" s="20">
        <f>IF(E14="",0,E14)</f>
        <v/>
      </c>
      <c r="M25" s="20">
        <f>C14</f>
        <v/>
      </c>
    </row>
    <row r="26">
      <c r="K26" t="inlineStr">
        <is>
          <t>A4</t>
        </is>
      </c>
      <c r="L26" s="20">
        <f>IF(E18="",0,E18)</f>
        <v/>
      </c>
      <c r="M26" s="20">
        <f>C18</f>
        <v/>
      </c>
    </row>
    <row r="40">
      <c r="B40" s="6" t="inlineStr">
        <is>
          <t>Observations · one row per interview</t>
        </is>
      </c>
    </row>
    <row r="41" ht="30" customHeight="1">
      <c r="B41" s="21" t="inlineStr">
        <is>
          <t>Session</t>
        </is>
      </c>
      <c r="C41" s="21" t="inlineStr">
        <is>
          <t>Persona</t>
        </is>
      </c>
      <c r="D41" s="21" t="inlineStr">
        <is>
          <t>Likes it in principle (Y/N)</t>
        </is>
      </c>
      <c r="E41" s="21" t="inlineStr">
        <is>
          <t>Blocking problem to forward (Y/N)</t>
        </is>
      </c>
      <c r="F41" s="21" t="inlineStr">
        <is>
          <t>Acted without prompt (Y/N)</t>
        </is>
      </c>
      <c r="G41" s="21" t="inlineStr">
        <is>
          <t>Most convincing figure</t>
        </is>
      </c>
      <c r="H41" s="21" t="inlineStr">
        <is>
          <t>Change marked on the prototype</t>
        </is>
      </c>
      <c r="I41" s="21" t="inlineStr">
        <is>
          <t>Quote</t>
        </is>
      </c>
    </row>
    <row r="42" ht="30" customHeight="1">
      <c r="B42" s="22" t="inlineStr">
        <is>
          <t>S01</t>
        </is>
      </c>
      <c r="C42" s="23" t="inlineStr">
        <is>
          <t>P1 Dr. Miriam Kessler</t>
        </is>
      </c>
      <c r="D42" s="24" t="inlineStr">
        <is>
          <t>Y</t>
        </is>
      </c>
      <c r="E42" s="24" t="inlineStr">
        <is>
          <t>N</t>
        </is>
      </c>
      <c r="F42" s="24" t="inlineStr">
        <is>
          <t>Y</t>
        </is>
      </c>
      <c r="G42" s="24" t="inlineStr">
        <is>
          <t>Savings</t>
        </is>
      </c>
      <c r="H42" s="25" t="inlineStr">
        <is>
          <t>Add the board meeting date and a link to the method.</t>
        </is>
      </c>
      <c r="I42" s="25" t="inlineStr">
        <is>
          <t>This saves me two days – if I can add the meeting date.</t>
        </is>
      </c>
    </row>
    <row r="43" ht="30" customHeight="1">
      <c r="B43" s="22" t="inlineStr">
        <is>
          <t>S02</t>
        </is>
      </c>
      <c r="C43" s="23" t="inlineStr">
        <is>
          <t>P3 Dr. Rainer Hollmann</t>
        </is>
      </c>
      <c r="D43" s="24" t="inlineStr">
        <is>
          <t>Y</t>
        </is>
      </c>
      <c r="E43" s="24" t="inlineStr">
        <is>
          <t>Y</t>
        </is>
      </c>
      <c r="F43" s="24" t="inlineStr">
        <is>
          <t>Y</t>
        </is>
      </c>
      <c r="G43" s="24" t="inlineStr">
        <is>
          <t>Savings</t>
        </is>
      </c>
      <c r="H43" s="25" t="inlineStr">
        <is>
          <t>Show what we would pay without the agreement.</t>
        </is>
      </c>
      <c r="I43" s="25" t="inlineStr">
        <is>
          <t>One page is right. I'd still want to know how other publishers compare.</t>
        </is>
      </c>
    </row>
    <row r="44" ht="30" customHeight="1">
      <c r="B44" s="22" t="inlineStr">
        <is>
          <t>S03</t>
        </is>
      </c>
      <c r="C44" s="23" t="inlineStr">
        <is>
          <t>P4 Prof. Dr. Sabine Aigner</t>
        </is>
      </c>
      <c r="D44" s="24" t="inlineStr">
        <is>
          <t>N</t>
        </is>
      </c>
      <c r="E44" s="24" t="inlineStr">
        <is>
          <t>Y</t>
        </is>
      </c>
      <c r="F44" s="24" t="inlineStr">
        <is>
          <t>N</t>
        </is>
      </c>
      <c r="G44" s="24" t="inlineStr">
        <is>
          <t>Researchers</t>
        </is>
      </c>
      <c r="H44" s="25" t="inlineStr">
        <is>
          <t>Say who checked the numbers.</t>
        </is>
      </c>
      <c r="I44" s="25" t="inlineStr">
        <is>
          <t>I'd sign this – but I'd ask who checked the numbers.</t>
        </is>
      </c>
    </row>
    <row r="45" ht="30" customHeight="1">
      <c r="B45" s="22" t="inlineStr">
        <is>
          <t>S04</t>
        </is>
      </c>
      <c r="C45" s="23" t="inlineStr">
        <is>
          <t>P6 Dr. Ana Ferreira</t>
        </is>
      </c>
      <c r="D45" s="24" t="inlineStr">
        <is>
          <t>Y</t>
        </is>
      </c>
      <c r="E45" s="24" t="inlineStr">
        <is>
          <t>N</t>
        </is>
      </c>
      <c r="F45" s="24" t="inlineStr">
        <is>
          <t>N</t>
        </is>
      </c>
      <c r="G45" s="24" t="inlineStr">
        <is>
          <t>Researchers</t>
        </is>
      </c>
      <c r="H45" s="25" t="inlineStr">
        <is>
          <t>Sender should be the library, not Lumen marketing.</t>
        </is>
      </c>
      <c r="I45" s="25" t="inlineStr">
        <is>
          <t>Seeing my editing work recognised is a first.</t>
        </is>
      </c>
    </row>
    <row r="46" ht="30" customHeight="1">
      <c r="B46" s="22" t="inlineStr">
        <is>
          <t>S05</t>
        </is>
      </c>
      <c r="C46" s="23" t="inlineStr">
        <is>
          <t>P2 Jonas Brändli</t>
        </is>
      </c>
      <c r="D46" s="24" t="inlineStr">
        <is>
          <t>Y</t>
        </is>
      </c>
      <c r="E46" s="24" t="inlineStr">
        <is>
          <t>N</t>
        </is>
      </c>
      <c r="F46" s="24" t="inlineStr">
        <is>
          <t>Y</t>
        </is>
      </c>
      <c r="G46" s="24" t="inlineStr">
        <is>
          <t>Funder compliance</t>
        </is>
      </c>
      <c r="H46" s="25" t="inlineStr">
        <is>
          <t>Add SNSF to the funder figure.</t>
        </is>
      </c>
      <c r="I46" s="25" t="inlineStr">
        <is>
          <t>Without SNSF I'd still have to build my own table.</t>
        </is>
      </c>
    </row>
    <row r="47" ht="30" customHeight="1">
      <c r="B47" s="22" t="inlineStr">
        <is>
          <t>S06</t>
        </is>
      </c>
      <c r="C47" s="23" t="inlineStr">
        <is>
          <t>P5 Ulrike Sandmann</t>
        </is>
      </c>
      <c r="D47" s="24" t="inlineStr">
        <is>
          <t>N</t>
        </is>
      </c>
      <c r="E47" s="24" t="inlineStr">
        <is>
          <t>Y</t>
        </is>
      </c>
      <c r="F47" s="24" t="inlineStr">
        <is>
          <t>Y</t>
        </is>
      </c>
      <c r="G47" s="24" t="inlineStr">
        <is>
          <t>Savings</t>
        </is>
      </c>
      <c r="H47" s="25" t="inlineStr">
        <is>
          <t>Same figures for every publisher.</t>
        </is>
      </c>
      <c r="I47" s="25" t="inlineStr">
        <is>
          <t>Good for one university. For 14 I need the same figures from every publisher.</t>
        </is>
      </c>
    </row>
    <row r="48" ht="18" customHeight="1">
      <c r="B48" s="22" t="inlineStr">
        <is>
          <t>S07</t>
        </is>
      </c>
      <c r="C48" s="23" t="n"/>
      <c r="D48" s="24" t="n"/>
      <c r="E48" s="24" t="n"/>
      <c r="F48" s="24" t="n"/>
      <c r="G48" s="24" t="n"/>
      <c r="H48" s="25" t="n"/>
      <c r="I48" s="25" t="n"/>
    </row>
    <row r="49" ht="18" customHeight="1">
      <c r="B49" s="22" t="inlineStr">
        <is>
          <t>S08</t>
        </is>
      </c>
      <c r="C49" s="23" t="n"/>
      <c r="D49" s="24" t="n"/>
      <c r="E49" s="24" t="n"/>
      <c r="F49" s="24" t="n"/>
      <c r="G49" s="24" t="n"/>
      <c r="H49" s="25" t="n"/>
      <c r="I49" s="25" t="n"/>
    </row>
    <row r="50" ht="18" customHeight="1">
      <c r="B50" s="22" t="inlineStr">
        <is>
          <t>S09</t>
        </is>
      </c>
      <c r="C50" s="23" t="n"/>
      <c r="D50" s="24" t="n"/>
      <c r="E50" s="24" t="n"/>
      <c r="F50" s="24" t="n"/>
      <c r="G50" s="24" t="n"/>
      <c r="H50" s="25" t="n"/>
      <c r="I50" s="25" t="n"/>
    </row>
    <row r="51" ht="18" customHeight="1">
      <c r="B51" s="22" t="inlineStr">
        <is>
          <t>S10</t>
        </is>
      </c>
      <c r="C51" s="23" t="n"/>
      <c r="D51" s="24" t="n"/>
      <c r="E51" s="24" t="n"/>
      <c r="F51" s="24" t="n"/>
      <c r="G51" s="24" t="n"/>
      <c r="H51" s="25" t="n"/>
      <c r="I51" s="25" t="n"/>
    </row>
    <row r="52" ht="18" customHeight="1">
      <c r="B52" s="22" t="inlineStr">
        <is>
          <t>S11</t>
        </is>
      </c>
      <c r="C52" s="23" t="n"/>
      <c r="D52" s="24" t="n"/>
      <c r="E52" s="24" t="n"/>
      <c r="F52" s="24" t="n"/>
      <c r="G52" s="24" t="n"/>
      <c r="H52" s="25" t="n"/>
      <c r="I52" s="25" t="n"/>
    </row>
    <row r="53" ht="18" customHeight="1">
      <c r="B53" s="22" t="inlineStr">
        <is>
          <t>S12</t>
        </is>
      </c>
      <c r="C53" s="23" t="n"/>
      <c r="D53" s="24" t="n"/>
      <c r="E53" s="24" t="n"/>
      <c r="F53" s="24" t="n"/>
      <c r="G53" s="24" t="n"/>
      <c r="H53" s="25" t="n"/>
      <c r="I53" s="25" t="n"/>
    </row>
    <row r="55">
      <c r="B55" s="19" t="inlineStr">
        <is>
          <t>Amber cells are inputs; everything else calculates. Leave Persona empty for interviews not yet held.</t>
        </is>
      </c>
    </row>
  </sheetData>
  <mergeCells count="14">
    <mergeCell ref="B12:F12"/>
    <mergeCell ref="H12:I12"/>
    <mergeCell ref="B16:F16"/>
    <mergeCell ref="H16:I16"/>
    <mergeCell ref="H10:I10"/>
    <mergeCell ref="B2:I2"/>
    <mergeCell ref="B20:I20"/>
    <mergeCell ref="H18:I18"/>
    <mergeCell ref="H8:I8"/>
    <mergeCell ref="B8:F8"/>
    <mergeCell ref="H13:I13"/>
    <mergeCell ref="H14:I14"/>
    <mergeCell ref="H9:I9"/>
    <mergeCell ref="H17:I17"/>
  </mergeCells>
  <conditionalFormatting sqref="G9:G19">
    <cfRule type="cellIs" priority="1" operator="equal" dxfId="0">
      <formula>"Confirmed"</formula>
    </cfRule>
    <cfRule type="cellIs" priority="2" operator="equal" dxfId="1">
      <formula>"Mixed"</formula>
    </cfRule>
    <cfRule type="cellIs" priority="3" operator="equal" dxfId="2">
      <formula>"Rejected"</formula>
    </cfRule>
  </conditionalFormatting>
  <dataValidations count="2">
    <dataValidation sqref="D42 D43 D44 D45 D46 D47 D48 D49 D50 D51 D52 D53 E42 E43 E44 E45 E46 E47 E48 E49 E50 E51 E52 E53 F42 F43 F44 F45 F46 F47 F48 F49 F50 F51 F52 F53" showDropDown="0" showInputMessage="0" showErrorMessage="0" allowBlank="1" type="list">
      <formula1>"Y,N"</formula1>
    </dataValidation>
    <dataValidation sqref="G42 G43 G44 G45 G46 G47 G48 G49 G50 G51 G52 G53" showDropDown="0" showInputMessage="0" showErrorMessage="0" allowBlank="1" type="list">
      <formula1>"Savings,Researchers,Funder compliance,Impact"</formula1>
    </dataValidation>
  </dataValidations>
  <pageMargins left="0.75" right="0.75" top="1" bottom="1" header="0.5" footer="0.5"/>
  <pageSetup orientation="landscape" paperSize="9"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sprintbox.ai</dc:creator>
  <dcterms:created xmlns:dcterms="http://purl.org/dc/terms/" xmlns:xsi="http://www.w3.org/2001/XMLSchema-instance" xsi:type="dcterms:W3CDTF">2026-10-31T16:11:38Z</dcterms:created>
  <dcterms:modified xmlns:dcterms="http://purl.org/dc/terms/" xmlns:xsi="http://www.w3.org/2001/XMLSchema-instance" xsi:type="dcterms:W3CDTF">2026-10-31T16:11:38Z</dcterms:modified>
</cp:coreProperties>
</file>